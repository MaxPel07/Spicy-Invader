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601" codeName="{AE6600E7-7A62-396C-DE95-9942FA9DD81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Semestre 2\I226_progObjet\SpicyInvader\"/>
    </mc:Choice>
  </mc:AlternateContent>
  <xr:revisionPtr revIDLastSave="0" documentId="13_ncr:1_{4340F5AA-398A-4503-A16B-4A7E82ED2C96}" xr6:coauthVersionLast="47" xr6:coauthVersionMax="47" xr10:uidLastSave="{00000000-0000-0000-0000-000000000000}"/>
  <bookViews>
    <workbookView xWindow="28680" yWindow="-120" windowWidth="29040" windowHeight="15840" activeTab="5" xr2:uid="{00000000-000D-0000-FFFF-FFFF00000000}"/>
  </bookViews>
  <sheets>
    <sheet name="Donnees" sheetId="7" r:id="rId1"/>
    <sheet name="Diagramme" sheetId="160" r:id="rId2"/>
    <sheet name="DiagramHeader" sheetId="10" state="hidden" r:id="rId3"/>
    <sheet name="DiagramFooter" sheetId="130" state="hidden" r:id="rId4"/>
    <sheet name="PlanificationWeek" sheetId="11" state="hidden" r:id="rId5"/>
    <sheet name="Planning" sheetId="158" r:id="rId6"/>
    <sheet name="achievementWeek" sheetId="154" state="hidden" r:id="rId7"/>
    <sheet name="JNLTRAV" sheetId="159" r:id="rId8"/>
  </sheets>
  <definedNames>
    <definedName name="datDateBegin">Donnees!$C$9</definedName>
    <definedName name="ListTasks">Diagramme!$B$3:$B$14</definedName>
    <definedName name="lstTasks">Donnees!$C$20:$C$45</definedName>
    <definedName name="NbLessons">Diagramme!$C$3:$C$14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5">Planning!$A$1:$D$14</definedName>
    <definedName name="objPlanifWeek">PlanificationWeek!$A$1:$D$14</definedName>
    <definedName name="objRealizedWeek" localSheetId="6">achievementWeek!$A$1:$D$19</definedName>
    <definedName name="objRealizedWeek" localSheetId="7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3" i="160" l="1"/>
  <c r="B11" i="160"/>
  <c r="B9" i="160"/>
  <c r="B7" i="160"/>
  <c r="B5" i="160"/>
  <c r="C16" i="160"/>
  <c r="C15" i="160"/>
  <c r="D286" i="159"/>
  <c r="D267" i="159"/>
  <c r="D248" i="159"/>
  <c r="D229" i="159"/>
  <c r="D210" i="159"/>
  <c r="D191" i="159"/>
  <c r="D172" i="159"/>
  <c r="D153" i="159"/>
  <c r="D134" i="159"/>
  <c r="D115" i="159"/>
  <c r="D96" i="159"/>
  <c r="D77" i="159"/>
  <c r="D58" i="159"/>
  <c r="D39" i="159"/>
  <c r="D20" i="159"/>
  <c r="D1" i="159"/>
  <c r="B303" i="159"/>
  <c r="B284" i="159"/>
  <c r="B265" i="159"/>
  <c r="B246" i="159"/>
  <c r="B227" i="159"/>
  <c r="B208" i="159"/>
  <c r="B189" i="159"/>
  <c r="B170" i="159"/>
  <c r="B151" i="159"/>
  <c r="B132" i="159"/>
  <c r="B113" i="159"/>
  <c r="B94" i="159"/>
  <c r="B75" i="159"/>
  <c r="B56" i="159"/>
  <c r="B37" i="159"/>
  <c r="B18" i="159"/>
  <c r="B223" i="158"/>
  <c r="B209" i="158"/>
  <c r="B195" i="158"/>
  <c r="B181" i="158"/>
  <c r="B167" i="158"/>
  <c r="B153" i="158"/>
  <c r="B139" i="158"/>
  <c r="B125" i="158"/>
  <c r="B111" i="158"/>
  <c r="B97" i="158"/>
  <c r="B83" i="158"/>
  <c r="B69" i="158"/>
  <c r="B55" i="158"/>
  <c r="B41" i="158"/>
  <c r="B27" i="158"/>
  <c r="B13" i="158"/>
  <c r="B18" i="154" l="1"/>
  <c r="B13" i="11" l="1"/>
</calcChain>
</file>

<file path=xl/sharedStrings.xml><?xml version="1.0" encoding="utf-8"?>
<sst xmlns="http://schemas.openxmlformats.org/spreadsheetml/2006/main" count="311" uniqueCount="55">
  <si>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</si>
  <si>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</si>
  <si>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</si>
  <si>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</si>
  <si>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</si>
  <si>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</si>
  <si>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</si>
  <si>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</si>
  <si>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</si>
  <si>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</si>
  <si>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</si>
  <si>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</si>
  <si>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</si>
  <si>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</si>
  <si>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</si>
  <si>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</si>
  <si>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</si>
  <si>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</si>
  <si>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</si>
  <si>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</si>
  <si>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</si>
  <si>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</si>
  <si>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</si>
  <si>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</si>
  <si>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I226</t>
  </si>
  <si>
    <t>Maxime Pelloquin</t>
  </si>
  <si>
    <t>FIN1</t>
  </si>
  <si>
    <t>Lausanne (Vennes)</t>
  </si>
  <si>
    <t>Planification</t>
  </si>
  <si>
    <t>Max. 12</t>
  </si>
  <si>
    <t>STOP</t>
  </si>
  <si>
    <t>S 1</t>
  </si>
  <si>
    <t>S 2</t>
  </si>
  <si>
    <t>S 3</t>
  </si>
  <si>
    <t>S 4</t>
  </si>
  <si>
    <t>S 5</t>
  </si>
  <si>
    <t>S 6</t>
  </si>
  <si>
    <t>S 7</t>
  </si>
  <si>
    <t>S 8</t>
  </si>
  <si>
    <t>S 9</t>
  </si>
  <si>
    <t>S 10</t>
  </si>
  <si>
    <t>S 11</t>
  </si>
  <si>
    <t>S 12</t>
  </si>
  <si>
    <t>S 13</t>
  </si>
  <si>
    <t>S 14</t>
  </si>
  <si>
    <t>S 15</t>
  </si>
  <si>
    <t>S 16</t>
  </si>
  <si>
    <t>Travail sur le menu</t>
  </si>
  <si>
    <t>Travail sur le vaisseau</t>
  </si>
  <si>
    <t>Travail sur les aliens</t>
  </si>
  <si>
    <t>Mecanique du jeu</t>
  </si>
  <si>
    <t>Etude du cahier des charges</t>
  </si>
  <si>
    <t>Commencer à faire un menu utilisable</t>
  </si>
  <si>
    <t>Compléter le menu</t>
  </si>
  <si>
    <t>Création de Classe et Methode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</si>
</sst>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20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  <font>
      <sz val="12"/>
      <name val="Century Gothic"/>
      <family val="2"/>
      <scheme val="minor"/>
    </font>
    <font>
      <sz val="14"/>
      <name val="Century Gothic"/>
      <family val="2"/>
      <scheme val="minor"/>
    </font>
    <font>
      <b/>
      <sz val="18"/>
      <name val="Century Gothic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26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9" fillId="4" borderId="13" xfId="0" applyFont="1" applyFill="1" applyBorder="1" applyAlignment="1" applyProtection="1">
      <alignment horizontal="left" vertical="top" wrapText="1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8" fillId="14" borderId="29" xfId="0" applyFont="1" applyFill="1" applyBorder="1" applyAlignment="1" applyProtection="1">
      <alignment horizontal="center" vertical="center"/>
    </xf>
    <xf numFmtId="0" fontId="18" fillId="14" borderId="28" xfId="0" applyFont="1" applyFill="1" applyBorder="1" applyAlignment="1" applyProtection="1">
      <alignment horizontal="center" vertical="center"/>
    </xf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4" fillId="9" borderId="0" xfId="0" applyFont="1" applyFill="1" applyProtection="1"/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19" fillId="9" borderId="14" xfId="0" applyFont="1" applyFill="1" applyBorder="1" applyAlignment="1" applyProtection="1">
      <alignment horizontal="center" vertical="center"/>
    </xf>
    <xf numFmtId="0" fontId="19" fillId="9" borderId="12" xfId="0" applyFont="1" applyFill="1" applyBorder="1" applyAlignment="1" applyProtection="1">
      <alignment horizontal="center" vertical="center"/>
    </xf>
    <xf numFmtId="0" fontId="19" fillId="9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7" fillId="6" borderId="35" xfId="0" applyFont="1" applyFill="1" applyBorder="1" applyAlignment="1" applyProtection="1">
      <alignment vertical="center"/>
    </xf>
    <xf numFmtId="0" fontId="17" fillId="6" borderId="19" xfId="0" applyFont="1" applyFill="1" applyBorder="1" applyAlignment="1" applyProtection="1">
      <alignment vertical="center"/>
    </xf>
    <xf numFmtId="1" fontId="17" fillId="6" borderId="35" xfId="0" applyNumberFormat="1" applyFont="1" applyFill="1" applyBorder="1" applyAlignment="1" applyProtection="1">
      <alignment vertical="center"/>
    </xf>
    <xf numFmtId="0" fontId="0" fillId="7" borderId="19" xfId="0" applyFill="1" applyBorder="1"/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4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5057" name="btnImportPlanification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5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6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6081" name="btnImportRealisation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7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view="pageBreakPreview" zoomScaleNormal="100" zoomScaleSheetLayoutView="100" workbookViewId="0">
      <selection activeCell="E25" sqref="E25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25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26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27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45309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45443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16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4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113" t="s">
        <v>19</v>
      </c>
      <c r="C19" s="114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28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47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48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49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50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/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/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/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/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/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5D2F5-5916-4F53-85F3-C3EE1EE59453}">
  <sheetPr codeName="Feuil7"/>
  <dimension ref="A1:GM16"/>
  <sheetViews>
    <sheetView workbookViewId="0">
      <selection activeCell="B1" sqref="B1"/>
    </sheetView>
  </sheetViews>
  <sheetFormatPr baseColWidth="10" defaultColWidth="1.5703125" defaultRowHeight="19.5" customHeight="1" x14ac:dyDescent="0.25"/>
  <cols>
    <col min="1" max="1" width="17.85546875" style="91" customWidth="1"/>
    <col min="2" max="2" width="51.28515625" style="91" customWidth="1"/>
    <col min="3" max="3" width="19.42578125" style="91" customWidth="1"/>
    <col min="4" max="16384" width="1.5703125" style="91"/>
  </cols>
  <sheetData>
    <row r="1" spans="1:195" ht="14.25" thickBot="1" x14ac:dyDescent="0.3">
      <c r="B1" s="92"/>
      <c r="C1" s="92"/>
    </row>
    <row r="2" spans="1:195" ht="42.75" customHeight="1" thickBot="1" x14ac:dyDescent="0.3">
      <c r="A2" s="93"/>
      <c r="B2" s="23" t="s">
        <v>5</v>
      </c>
      <c r="C2" s="15" t="s">
        <v>18</v>
      </c>
      <c r="D2" s="115" t="s">
        <v>31</v>
      </c>
      <c r="E2" s="116"/>
      <c r="F2" s="116"/>
      <c r="G2" s="116"/>
      <c r="H2" s="116"/>
      <c r="I2" s="116"/>
      <c r="J2" s="116"/>
      <c r="K2" s="116"/>
      <c r="L2" s="116"/>
      <c r="M2" s="116"/>
      <c r="N2" s="116"/>
      <c r="O2" s="117"/>
      <c r="P2" s="115" t="s">
        <v>32</v>
      </c>
      <c r="Q2" s="116"/>
      <c r="R2" s="116"/>
      <c r="S2" s="116"/>
      <c r="T2" s="116"/>
      <c r="U2" s="116"/>
      <c r="V2" s="116"/>
      <c r="W2" s="116"/>
      <c r="X2" s="116"/>
      <c r="Y2" s="116"/>
      <c r="Z2" s="116"/>
      <c r="AA2" s="117"/>
      <c r="AB2" s="115" t="s">
        <v>33</v>
      </c>
      <c r="AC2" s="116"/>
      <c r="AD2" s="116"/>
      <c r="AE2" s="116"/>
      <c r="AF2" s="116"/>
      <c r="AG2" s="116"/>
      <c r="AH2" s="116"/>
      <c r="AI2" s="116"/>
      <c r="AJ2" s="116"/>
      <c r="AK2" s="116"/>
      <c r="AL2" s="116"/>
      <c r="AM2" s="117"/>
      <c r="AN2" s="115" t="s">
        <v>34</v>
      </c>
      <c r="AO2" s="116"/>
      <c r="AP2" s="116"/>
      <c r="AQ2" s="116"/>
      <c r="AR2" s="116"/>
      <c r="AS2" s="116"/>
      <c r="AT2" s="116"/>
      <c r="AU2" s="116"/>
      <c r="AV2" s="116"/>
      <c r="AW2" s="116"/>
      <c r="AX2" s="116"/>
      <c r="AY2" s="117"/>
      <c r="AZ2" s="115" t="s">
        <v>35</v>
      </c>
      <c r="BA2" s="116"/>
      <c r="BB2" s="116"/>
      <c r="BC2" s="116"/>
      <c r="BD2" s="116"/>
      <c r="BE2" s="116"/>
      <c r="BF2" s="116"/>
      <c r="BG2" s="116"/>
      <c r="BH2" s="116"/>
      <c r="BI2" s="116"/>
      <c r="BJ2" s="116"/>
      <c r="BK2" s="117"/>
      <c r="BL2" s="115" t="s">
        <v>36</v>
      </c>
      <c r="BM2" s="116"/>
      <c r="BN2" s="116"/>
      <c r="BO2" s="116"/>
      <c r="BP2" s="116"/>
      <c r="BQ2" s="116"/>
      <c r="BR2" s="116"/>
      <c r="BS2" s="116"/>
      <c r="BT2" s="116"/>
      <c r="BU2" s="116"/>
      <c r="BV2" s="116"/>
      <c r="BW2" s="117"/>
      <c r="BX2" s="115" t="s">
        <v>37</v>
      </c>
      <c r="BY2" s="116"/>
      <c r="BZ2" s="116"/>
      <c r="CA2" s="116"/>
      <c r="CB2" s="116"/>
      <c r="CC2" s="116"/>
      <c r="CD2" s="116"/>
      <c r="CE2" s="116"/>
      <c r="CF2" s="116"/>
      <c r="CG2" s="116"/>
      <c r="CH2" s="116"/>
      <c r="CI2" s="117"/>
      <c r="CJ2" s="115" t="s">
        <v>38</v>
      </c>
      <c r="CK2" s="116"/>
      <c r="CL2" s="116"/>
      <c r="CM2" s="116"/>
      <c r="CN2" s="116"/>
      <c r="CO2" s="116"/>
      <c r="CP2" s="116"/>
      <c r="CQ2" s="116"/>
      <c r="CR2" s="116"/>
      <c r="CS2" s="116"/>
      <c r="CT2" s="116"/>
      <c r="CU2" s="117"/>
      <c r="CV2" s="115" t="s">
        <v>39</v>
      </c>
      <c r="CW2" s="116"/>
      <c r="CX2" s="116"/>
      <c r="CY2" s="116"/>
      <c r="CZ2" s="116"/>
      <c r="DA2" s="116"/>
      <c r="DB2" s="116"/>
      <c r="DC2" s="116"/>
      <c r="DD2" s="116"/>
      <c r="DE2" s="116"/>
      <c r="DF2" s="116"/>
      <c r="DG2" s="117"/>
      <c r="DH2" s="115" t="s">
        <v>40</v>
      </c>
      <c r="DI2" s="116"/>
      <c r="DJ2" s="116"/>
      <c r="DK2" s="116"/>
      <c r="DL2" s="116"/>
      <c r="DM2" s="116"/>
      <c r="DN2" s="116"/>
      <c r="DO2" s="116"/>
      <c r="DP2" s="116"/>
      <c r="DQ2" s="116"/>
      <c r="DR2" s="116"/>
      <c r="DS2" s="117"/>
      <c r="DT2" s="115" t="s">
        <v>41</v>
      </c>
      <c r="DU2" s="116"/>
      <c r="DV2" s="116"/>
      <c r="DW2" s="116"/>
      <c r="DX2" s="116"/>
      <c r="DY2" s="116"/>
      <c r="DZ2" s="116"/>
      <c r="EA2" s="116"/>
      <c r="EB2" s="116"/>
      <c r="EC2" s="116"/>
      <c r="ED2" s="116"/>
      <c r="EE2" s="117"/>
      <c r="EF2" s="115" t="s">
        <v>42</v>
      </c>
      <c r="EG2" s="116"/>
      <c r="EH2" s="116"/>
      <c r="EI2" s="116"/>
      <c r="EJ2" s="116"/>
      <c r="EK2" s="116"/>
      <c r="EL2" s="116"/>
      <c r="EM2" s="116"/>
      <c r="EN2" s="116"/>
      <c r="EO2" s="116"/>
      <c r="EP2" s="116"/>
      <c r="EQ2" s="117"/>
      <c r="ER2" s="115" t="s">
        <v>43</v>
      </c>
      <c r="ES2" s="116"/>
      <c r="ET2" s="116"/>
      <c r="EU2" s="116"/>
      <c r="EV2" s="116"/>
      <c r="EW2" s="116"/>
      <c r="EX2" s="116"/>
      <c r="EY2" s="116"/>
      <c r="EZ2" s="116"/>
      <c r="FA2" s="116"/>
      <c r="FB2" s="116"/>
      <c r="FC2" s="117"/>
      <c r="FD2" s="115" t="s">
        <v>44</v>
      </c>
      <c r="FE2" s="116"/>
      <c r="FF2" s="116"/>
      <c r="FG2" s="116"/>
      <c r="FH2" s="116"/>
      <c r="FI2" s="116"/>
      <c r="FJ2" s="116"/>
      <c r="FK2" s="116"/>
      <c r="FL2" s="116"/>
      <c r="FM2" s="116"/>
      <c r="FN2" s="116"/>
      <c r="FO2" s="117"/>
      <c r="FP2" s="115" t="s">
        <v>45</v>
      </c>
      <c r="FQ2" s="116"/>
      <c r="FR2" s="116"/>
      <c r="FS2" s="116"/>
      <c r="FT2" s="116"/>
      <c r="FU2" s="116"/>
      <c r="FV2" s="116"/>
      <c r="FW2" s="116"/>
      <c r="FX2" s="116"/>
      <c r="FY2" s="116"/>
      <c r="FZ2" s="116"/>
      <c r="GA2" s="117"/>
      <c r="GB2" s="115" t="s">
        <v>46</v>
      </c>
      <c r="GC2" s="116"/>
      <c r="GD2" s="116"/>
      <c r="GE2" s="116"/>
      <c r="GF2" s="116"/>
      <c r="GG2" s="116"/>
      <c r="GH2" s="116"/>
      <c r="GI2" s="116"/>
      <c r="GJ2" s="116"/>
      <c r="GK2" s="116"/>
      <c r="GL2" s="116"/>
      <c r="GM2" s="117"/>
    </row>
    <row r="3" spans="1:195" ht="19.5" customHeight="1" x14ac:dyDescent="0.25">
      <c r="A3" s="93"/>
      <c r="B3" s="118" t="s">
        <v>21</v>
      </c>
      <c r="C3" s="16">
        <v>0</v>
      </c>
      <c r="D3" s="94"/>
      <c r="E3" s="95"/>
      <c r="F3" s="96"/>
      <c r="G3" s="97"/>
      <c r="H3" s="95"/>
      <c r="I3" s="96"/>
      <c r="J3" s="97"/>
      <c r="K3" s="95"/>
      <c r="L3" s="96"/>
      <c r="M3" s="97"/>
      <c r="N3" s="95"/>
      <c r="O3" s="98"/>
      <c r="P3" s="94"/>
      <c r="Q3" s="95"/>
      <c r="R3" s="96"/>
      <c r="S3" s="97"/>
      <c r="T3" s="95"/>
      <c r="U3" s="96"/>
      <c r="V3" s="97"/>
      <c r="W3" s="95"/>
      <c r="X3" s="96"/>
      <c r="Y3" s="97"/>
      <c r="Z3" s="95"/>
      <c r="AA3" s="98"/>
      <c r="AB3" s="94"/>
      <c r="AC3" s="95"/>
      <c r="AD3" s="96"/>
      <c r="AE3" s="97"/>
      <c r="AF3" s="95"/>
      <c r="AG3" s="96"/>
      <c r="AH3" s="97"/>
      <c r="AI3" s="95"/>
      <c r="AJ3" s="96"/>
      <c r="AK3" s="97"/>
      <c r="AL3" s="95"/>
      <c r="AM3" s="98"/>
      <c r="AN3" s="94"/>
      <c r="AO3" s="95"/>
      <c r="AP3" s="96"/>
      <c r="AQ3" s="97"/>
      <c r="AR3" s="95"/>
      <c r="AS3" s="96"/>
      <c r="AT3" s="97"/>
      <c r="AU3" s="95"/>
      <c r="AV3" s="96"/>
      <c r="AW3" s="97"/>
      <c r="AX3" s="95"/>
      <c r="AY3" s="98"/>
      <c r="AZ3" s="94"/>
      <c r="BA3" s="95"/>
      <c r="BB3" s="96"/>
      <c r="BC3" s="97"/>
      <c r="BD3" s="95"/>
      <c r="BE3" s="96"/>
      <c r="BF3" s="97"/>
      <c r="BG3" s="95"/>
      <c r="BH3" s="96"/>
      <c r="BI3" s="97"/>
      <c r="BJ3" s="95"/>
      <c r="BK3" s="98"/>
      <c r="BL3" s="94"/>
      <c r="BM3" s="95"/>
      <c r="BN3" s="96"/>
      <c r="BO3" s="97"/>
      <c r="BP3" s="95"/>
      <c r="BQ3" s="96"/>
      <c r="BR3" s="97"/>
      <c r="BS3" s="95"/>
      <c r="BT3" s="96"/>
      <c r="BU3" s="97"/>
      <c r="BV3" s="95"/>
      <c r="BW3" s="98"/>
      <c r="BX3" s="94"/>
      <c r="BY3" s="95"/>
      <c r="BZ3" s="96"/>
      <c r="CA3" s="97"/>
      <c r="CB3" s="95"/>
      <c r="CC3" s="96"/>
      <c r="CD3" s="97"/>
      <c r="CE3" s="95"/>
      <c r="CF3" s="96"/>
      <c r="CG3" s="97"/>
      <c r="CH3" s="95"/>
      <c r="CI3" s="98"/>
      <c r="CJ3" s="94"/>
      <c r="CK3" s="95"/>
      <c r="CL3" s="96"/>
      <c r="CM3" s="97"/>
      <c r="CN3" s="95"/>
      <c r="CO3" s="96"/>
      <c r="CP3" s="97"/>
      <c r="CQ3" s="95"/>
      <c r="CR3" s="96"/>
      <c r="CS3" s="97"/>
      <c r="CT3" s="95"/>
      <c r="CU3" s="98"/>
      <c r="CV3" s="94"/>
      <c r="CW3" s="95"/>
      <c r="CX3" s="96"/>
      <c r="CY3" s="97"/>
      <c r="CZ3" s="95"/>
      <c r="DA3" s="96"/>
      <c r="DB3" s="97"/>
      <c r="DC3" s="95"/>
      <c r="DD3" s="96"/>
      <c r="DE3" s="97"/>
      <c r="DF3" s="95"/>
      <c r="DG3" s="98"/>
      <c r="DH3" s="94"/>
      <c r="DI3" s="95"/>
      <c r="DJ3" s="96"/>
      <c r="DK3" s="97"/>
      <c r="DL3" s="95"/>
      <c r="DM3" s="96"/>
      <c r="DN3" s="97"/>
      <c r="DO3" s="95"/>
      <c r="DP3" s="96"/>
      <c r="DQ3" s="97"/>
      <c r="DR3" s="95"/>
      <c r="DS3" s="98"/>
      <c r="DT3" s="94"/>
      <c r="DU3" s="95"/>
      <c r="DV3" s="96"/>
      <c r="DW3" s="97"/>
      <c r="DX3" s="95"/>
      <c r="DY3" s="96"/>
      <c r="DZ3" s="97"/>
      <c r="EA3" s="95"/>
      <c r="EB3" s="96"/>
      <c r="EC3" s="97"/>
      <c r="ED3" s="95"/>
      <c r="EE3" s="98"/>
      <c r="EF3" s="94"/>
      <c r="EG3" s="95"/>
      <c r="EH3" s="96"/>
      <c r="EI3" s="97"/>
      <c r="EJ3" s="95"/>
      <c r="EK3" s="96"/>
      <c r="EL3" s="97"/>
      <c r="EM3" s="95"/>
      <c r="EN3" s="96"/>
      <c r="EO3" s="97"/>
      <c r="EP3" s="95"/>
      <c r="EQ3" s="98"/>
      <c r="ER3" s="94"/>
      <c r="ES3" s="95"/>
      <c r="ET3" s="96"/>
      <c r="EU3" s="97"/>
      <c r="EV3" s="95"/>
      <c r="EW3" s="96"/>
      <c r="EX3" s="97"/>
      <c r="EY3" s="95"/>
      <c r="EZ3" s="96"/>
      <c r="FA3" s="97"/>
      <c r="FB3" s="95"/>
      <c r="FC3" s="98"/>
      <c r="FD3" s="94"/>
      <c r="FE3" s="95"/>
      <c r="FF3" s="96"/>
      <c r="FG3" s="97"/>
      <c r="FH3" s="95"/>
      <c r="FI3" s="96"/>
      <c r="FJ3" s="97"/>
      <c r="FK3" s="95"/>
      <c r="FL3" s="96"/>
      <c r="FM3" s="97"/>
      <c r="FN3" s="95"/>
      <c r="FO3" s="98"/>
      <c r="FP3" s="94"/>
      <c r="FQ3" s="95"/>
      <c r="FR3" s="96"/>
      <c r="FS3" s="97"/>
      <c r="FT3" s="95"/>
      <c r="FU3" s="96"/>
      <c r="FV3" s="97"/>
      <c r="FW3" s="95"/>
      <c r="FX3" s="96"/>
      <c r="FY3" s="97"/>
      <c r="FZ3" s="95"/>
      <c r="GA3" s="98"/>
      <c r="GB3" s="94"/>
      <c r="GC3" s="95"/>
      <c r="GD3" s="96"/>
      <c r="GE3" s="97"/>
      <c r="GF3" s="95"/>
      <c r="GG3" s="96"/>
      <c r="GH3" s="97"/>
      <c r="GI3" s="95"/>
      <c r="GJ3" s="96"/>
      <c r="GK3" s="97"/>
      <c r="GL3" s="95"/>
      <c r="GM3" s="98"/>
    </row>
    <row r="4" spans="1:195" ht="19.5" customHeight="1" thickBot="1" x14ac:dyDescent="0.3">
      <c r="A4" s="93"/>
      <c r="B4" s="119"/>
      <c r="C4" s="22">
        <v>0</v>
      </c>
      <c r="D4" s="99"/>
      <c r="E4" s="100"/>
      <c r="F4" s="101"/>
      <c r="G4" s="102"/>
      <c r="H4" s="100"/>
      <c r="I4" s="101"/>
      <c r="J4" s="102"/>
      <c r="K4" s="100"/>
      <c r="L4" s="101"/>
      <c r="M4" s="102"/>
      <c r="N4" s="100"/>
      <c r="O4" s="103"/>
      <c r="P4" s="99"/>
      <c r="Q4" s="100"/>
      <c r="R4" s="101"/>
      <c r="S4" s="102"/>
      <c r="T4" s="100"/>
      <c r="U4" s="101"/>
      <c r="V4" s="102"/>
      <c r="W4" s="100"/>
      <c r="X4" s="101"/>
      <c r="Y4" s="102"/>
      <c r="Z4" s="100"/>
      <c r="AA4" s="103"/>
      <c r="AB4" s="99"/>
      <c r="AC4" s="100"/>
      <c r="AD4" s="101"/>
      <c r="AE4" s="102"/>
      <c r="AF4" s="100"/>
      <c r="AG4" s="101"/>
      <c r="AH4" s="102"/>
      <c r="AI4" s="100"/>
      <c r="AJ4" s="101"/>
      <c r="AK4" s="102"/>
      <c r="AL4" s="100"/>
      <c r="AM4" s="103"/>
      <c r="AN4" s="99"/>
      <c r="AO4" s="100"/>
      <c r="AP4" s="101"/>
      <c r="AQ4" s="102"/>
      <c r="AR4" s="100"/>
      <c r="AS4" s="101"/>
      <c r="AT4" s="102"/>
      <c r="AU4" s="100"/>
      <c r="AV4" s="101"/>
      <c r="AW4" s="102"/>
      <c r="AX4" s="100"/>
      <c r="AY4" s="103"/>
      <c r="AZ4" s="99"/>
      <c r="BA4" s="100"/>
      <c r="BB4" s="101"/>
      <c r="BC4" s="102"/>
      <c r="BD4" s="100"/>
      <c r="BE4" s="101"/>
      <c r="BF4" s="102"/>
      <c r="BG4" s="100"/>
      <c r="BH4" s="101"/>
      <c r="BI4" s="102"/>
      <c r="BJ4" s="100"/>
      <c r="BK4" s="103"/>
      <c r="BL4" s="99"/>
      <c r="BM4" s="100"/>
      <c r="BN4" s="101"/>
      <c r="BO4" s="102"/>
      <c r="BP4" s="100"/>
      <c r="BQ4" s="101"/>
      <c r="BR4" s="102"/>
      <c r="BS4" s="100"/>
      <c r="BT4" s="101"/>
      <c r="BU4" s="102"/>
      <c r="BV4" s="100"/>
      <c r="BW4" s="103"/>
      <c r="BX4" s="99"/>
      <c r="BY4" s="100"/>
      <c r="BZ4" s="101"/>
      <c r="CA4" s="102"/>
      <c r="CB4" s="100"/>
      <c r="CC4" s="101"/>
      <c r="CD4" s="102"/>
      <c r="CE4" s="100"/>
      <c r="CF4" s="101"/>
      <c r="CG4" s="102"/>
      <c r="CH4" s="100"/>
      <c r="CI4" s="103"/>
      <c r="CJ4" s="99"/>
      <c r="CK4" s="100"/>
      <c r="CL4" s="101"/>
      <c r="CM4" s="102"/>
      <c r="CN4" s="100"/>
      <c r="CO4" s="101"/>
      <c r="CP4" s="102"/>
      <c r="CQ4" s="100"/>
      <c r="CR4" s="101"/>
      <c r="CS4" s="102"/>
      <c r="CT4" s="100"/>
      <c r="CU4" s="103"/>
      <c r="CV4" s="99"/>
      <c r="CW4" s="100"/>
      <c r="CX4" s="101"/>
      <c r="CY4" s="102"/>
      <c r="CZ4" s="100"/>
      <c r="DA4" s="101"/>
      <c r="DB4" s="102"/>
      <c r="DC4" s="100"/>
      <c r="DD4" s="101"/>
      <c r="DE4" s="102"/>
      <c r="DF4" s="100"/>
      <c r="DG4" s="103"/>
      <c r="DH4" s="99"/>
      <c r="DI4" s="100"/>
      <c r="DJ4" s="101"/>
      <c r="DK4" s="102"/>
      <c r="DL4" s="100"/>
      <c r="DM4" s="101"/>
      <c r="DN4" s="102"/>
      <c r="DO4" s="100"/>
      <c r="DP4" s="101"/>
      <c r="DQ4" s="102"/>
      <c r="DR4" s="100"/>
      <c r="DS4" s="103"/>
      <c r="DT4" s="99"/>
      <c r="DU4" s="100"/>
      <c r="DV4" s="101"/>
      <c r="DW4" s="102"/>
      <c r="DX4" s="100"/>
      <c r="DY4" s="101"/>
      <c r="DZ4" s="102"/>
      <c r="EA4" s="100"/>
      <c r="EB4" s="101"/>
      <c r="EC4" s="102"/>
      <c r="ED4" s="100"/>
      <c r="EE4" s="103"/>
      <c r="EF4" s="99"/>
      <c r="EG4" s="100"/>
      <c r="EH4" s="101"/>
      <c r="EI4" s="102"/>
      <c r="EJ4" s="100"/>
      <c r="EK4" s="101"/>
      <c r="EL4" s="102"/>
      <c r="EM4" s="100"/>
      <c r="EN4" s="101"/>
      <c r="EO4" s="102"/>
      <c r="EP4" s="100"/>
      <c r="EQ4" s="103"/>
      <c r="ER4" s="99"/>
      <c r="ES4" s="100"/>
      <c r="ET4" s="101"/>
      <c r="EU4" s="102"/>
      <c r="EV4" s="100"/>
      <c r="EW4" s="101"/>
      <c r="EX4" s="102"/>
      <c r="EY4" s="100"/>
      <c r="EZ4" s="101"/>
      <c r="FA4" s="102"/>
      <c r="FB4" s="100"/>
      <c r="FC4" s="103"/>
      <c r="FD4" s="99"/>
      <c r="FE4" s="100"/>
      <c r="FF4" s="101"/>
      <c r="FG4" s="102"/>
      <c r="FH4" s="100"/>
      <c r="FI4" s="101"/>
      <c r="FJ4" s="102"/>
      <c r="FK4" s="100"/>
      <c r="FL4" s="101"/>
      <c r="FM4" s="102"/>
      <c r="FN4" s="100"/>
      <c r="FO4" s="103"/>
      <c r="FP4" s="99"/>
      <c r="FQ4" s="100"/>
      <c r="FR4" s="101"/>
      <c r="FS4" s="102"/>
      <c r="FT4" s="100"/>
      <c r="FU4" s="101"/>
      <c r="FV4" s="102"/>
      <c r="FW4" s="100"/>
      <c r="FX4" s="101"/>
      <c r="FY4" s="102"/>
      <c r="FZ4" s="100"/>
      <c r="GA4" s="103"/>
      <c r="GB4" s="99"/>
      <c r="GC4" s="100"/>
      <c r="GD4" s="101"/>
      <c r="GE4" s="102"/>
      <c r="GF4" s="100"/>
      <c r="GG4" s="101"/>
      <c r="GH4" s="102"/>
      <c r="GI4" s="100"/>
      <c r="GJ4" s="101"/>
      <c r="GK4" s="102"/>
      <c r="GL4" s="100"/>
      <c r="GM4" s="103"/>
    </row>
    <row r="5" spans="1:195" ht="19.5" customHeight="1" x14ac:dyDescent="0.25">
      <c r="B5" s="120" t="str">
        <f>Donnees!$C$21</f>
        <v>Planification</v>
      </c>
      <c r="C5" s="104">
        <v>0</v>
      </c>
      <c r="D5" s="94"/>
      <c r="E5" s="95"/>
      <c r="F5" s="96"/>
      <c r="G5" s="97"/>
      <c r="H5" s="95"/>
      <c r="I5" s="96"/>
      <c r="J5" s="97"/>
      <c r="K5" s="95"/>
      <c r="L5" s="96"/>
      <c r="M5" s="97"/>
      <c r="N5" s="95"/>
      <c r="O5" s="98"/>
      <c r="P5" s="94"/>
      <c r="Q5" s="95"/>
      <c r="R5" s="96"/>
      <c r="S5" s="97"/>
      <c r="T5" s="95"/>
      <c r="U5" s="96"/>
      <c r="V5" s="97"/>
      <c r="W5" s="95"/>
      <c r="X5" s="96"/>
      <c r="Y5" s="97"/>
      <c r="Z5" s="95"/>
      <c r="AA5" s="98"/>
      <c r="AB5" s="94"/>
      <c r="AC5" s="95"/>
      <c r="AD5" s="96"/>
      <c r="AE5" s="97"/>
      <c r="AF5" s="95"/>
      <c r="AG5" s="96"/>
      <c r="AH5" s="97"/>
      <c r="AI5" s="95"/>
      <c r="AJ5" s="96"/>
      <c r="AK5" s="97"/>
      <c r="AL5" s="95"/>
      <c r="AM5" s="98"/>
      <c r="AN5" s="94"/>
      <c r="AO5" s="95"/>
      <c r="AP5" s="96"/>
      <c r="AQ5" s="97"/>
      <c r="AR5" s="95"/>
      <c r="AS5" s="96"/>
      <c r="AT5" s="97"/>
      <c r="AU5" s="95"/>
      <c r="AV5" s="96"/>
      <c r="AW5" s="97"/>
      <c r="AX5" s="95"/>
      <c r="AY5" s="98"/>
      <c r="AZ5" s="94"/>
      <c r="BA5" s="95"/>
      <c r="BB5" s="96"/>
      <c r="BC5" s="97"/>
      <c r="BD5" s="95"/>
      <c r="BE5" s="96"/>
      <c r="BF5" s="97"/>
      <c r="BG5" s="95"/>
      <c r="BH5" s="96"/>
      <c r="BI5" s="97"/>
      <c r="BJ5" s="95"/>
      <c r="BK5" s="98"/>
      <c r="BL5" s="94"/>
      <c r="BM5" s="95"/>
      <c r="BN5" s="96"/>
      <c r="BO5" s="97"/>
      <c r="BP5" s="95"/>
      <c r="BQ5" s="96"/>
      <c r="BR5" s="97"/>
      <c r="BS5" s="95"/>
      <c r="BT5" s="96"/>
      <c r="BU5" s="97"/>
      <c r="BV5" s="95"/>
      <c r="BW5" s="98"/>
      <c r="BX5" s="94"/>
      <c r="BY5" s="95"/>
      <c r="BZ5" s="96"/>
      <c r="CA5" s="97"/>
      <c r="CB5" s="95"/>
      <c r="CC5" s="96"/>
      <c r="CD5" s="97"/>
      <c r="CE5" s="95"/>
      <c r="CF5" s="96"/>
      <c r="CG5" s="97"/>
      <c r="CH5" s="95"/>
      <c r="CI5" s="98"/>
      <c r="CJ5" s="94"/>
      <c r="CK5" s="95"/>
      <c r="CL5" s="96"/>
      <c r="CM5" s="97"/>
      <c r="CN5" s="95"/>
      <c r="CO5" s="96"/>
      <c r="CP5" s="97"/>
      <c r="CQ5" s="95"/>
      <c r="CR5" s="96"/>
      <c r="CS5" s="97"/>
      <c r="CT5" s="95"/>
      <c r="CU5" s="98"/>
      <c r="CV5" s="94"/>
      <c r="CW5" s="95"/>
      <c r="CX5" s="96"/>
      <c r="CY5" s="97"/>
      <c r="CZ5" s="95"/>
      <c r="DA5" s="96"/>
      <c r="DB5" s="97"/>
      <c r="DC5" s="95"/>
      <c r="DD5" s="96"/>
      <c r="DE5" s="97"/>
      <c r="DF5" s="95"/>
      <c r="DG5" s="98"/>
      <c r="DH5" s="94"/>
      <c r="DI5" s="95"/>
      <c r="DJ5" s="96"/>
      <c r="DK5" s="97"/>
      <c r="DL5" s="95"/>
      <c r="DM5" s="96"/>
      <c r="DN5" s="97"/>
      <c r="DO5" s="95"/>
      <c r="DP5" s="96"/>
      <c r="DQ5" s="97"/>
      <c r="DR5" s="95"/>
      <c r="DS5" s="98"/>
      <c r="DT5" s="94"/>
      <c r="DU5" s="95"/>
      <c r="DV5" s="96"/>
      <c r="DW5" s="97"/>
      <c r="DX5" s="95"/>
      <c r="DY5" s="96"/>
      <c r="DZ5" s="97"/>
      <c r="EA5" s="95"/>
      <c r="EB5" s="96"/>
      <c r="EC5" s="97"/>
      <c r="ED5" s="95"/>
      <c r="EE5" s="98"/>
      <c r="EF5" s="94"/>
      <c r="EG5" s="95"/>
      <c r="EH5" s="96"/>
      <c r="EI5" s="97"/>
      <c r="EJ5" s="95"/>
      <c r="EK5" s="96"/>
      <c r="EL5" s="97"/>
      <c r="EM5" s="95"/>
      <c r="EN5" s="96"/>
      <c r="EO5" s="97"/>
      <c r="EP5" s="95"/>
      <c r="EQ5" s="98"/>
      <c r="ER5" s="94"/>
      <c r="ES5" s="95"/>
      <c r="ET5" s="96"/>
      <c r="EU5" s="97"/>
      <c r="EV5" s="95"/>
      <c r="EW5" s="96"/>
      <c r="EX5" s="97"/>
      <c r="EY5" s="95"/>
      <c r="EZ5" s="96"/>
      <c r="FA5" s="97"/>
      <c r="FB5" s="95"/>
      <c r="FC5" s="98"/>
      <c r="FD5" s="94"/>
      <c r="FE5" s="95"/>
      <c r="FF5" s="96"/>
      <c r="FG5" s="97"/>
      <c r="FH5" s="95"/>
      <c r="FI5" s="96"/>
      <c r="FJ5" s="97"/>
      <c r="FK5" s="95"/>
      <c r="FL5" s="96"/>
      <c r="FM5" s="97"/>
      <c r="FN5" s="95"/>
      <c r="FO5" s="98"/>
      <c r="FP5" s="94"/>
      <c r="FQ5" s="95"/>
      <c r="FR5" s="96"/>
      <c r="FS5" s="97"/>
      <c r="FT5" s="95"/>
      <c r="FU5" s="96"/>
      <c r="FV5" s="97"/>
      <c r="FW5" s="95"/>
      <c r="FX5" s="96"/>
      <c r="FY5" s="97"/>
      <c r="FZ5" s="95"/>
      <c r="GA5" s="98"/>
      <c r="GB5" s="94"/>
      <c r="GC5" s="95"/>
      <c r="GD5" s="96"/>
      <c r="GE5" s="97"/>
      <c r="GF5" s="95"/>
      <c r="GG5" s="96"/>
      <c r="GH5" s="97"/>
      <c r="GI5" s="95"/>
      <c r="GJ5" s="96"/>
      <c r="GK5" s="97"/>
      <c r="GL5" s="95"/>
      <c r="GM5" s="98"/>
    </row>
    <row r="6" spans="1:195" ht="19.5" customHeight="1" thickBot="1" x14ac:dyDescent="0.3">
      <c r="B6" s="121"/>
      <c r="C6" s="105">
        <v>0</v>
      </c>
      <c r="D6" s="99"/>
      <c r="E6" s="100"/>
      <c r="F6" s="101"/>
      <c r="G6" s="102"/>
      <c r="H6" s="100"/>
      <c r="I6" s="101"/>
      <c r="J6" s="102"/>
      <c r="K6" s="100"/>
      <c r="L6" s="101"/>
      <c r="M6" s="102"/>
      <c r="N6" s="100"/>
      <c r="O6" s="103"/>
      <c r="P6" s="99"/>
      <c r="Q6" s="100"/>
      <c r="R6" s="101"/>
      <c r="S6" s="102"/>
      <c r="T6" s="100"/>
      <c r="U6" s="101"/>
      <c r="V6" s="102"/>
      <c r="W6" s="100"/>
      <c r="X6" s="101"/>
      <c r="Y6" s="102"/>
      <c r="Z6" s="100"/>
      <c r="AA6" s="103"/>
      <c r="AB6" s="99"/>
      <c r="AC6" s="100"/>
      <c r="AD6" s="101"/>
      <c r="AE6" s="102"/>
      <c r="AF6" s="100"/>
      <c r="AG6" s="101"/>
      <c r="AH6" s="102"/>
      <c r="AI6" s="100"/>
      <c r="AJ6" s="101"/>
      <c r="AK6" s="102"/>
      <c r="AL6" s="100"/>
      <c r="AM6" s="103"/>
      <c r="AN6" s="99"/>
      <c r="AO6" s="100"/>
      <c r="AP6" s="101"/>
      <c r="AQ6" s="102"/>
      <c r="AR6" s="100"/>
      <c r="AS6" s="101"/>
      <c r="AT6" s="102"/>
      <c r="AU6" s="100"/>
      <c r="AV6" s="101"/>
      <c r="AW6" s="102"/>
      <c r="AX6" s="100"/>
      <c r="AY6" s="103"/>
      <c r="AZ6" s="99"/>
      <c r="BA6" s="100"/>
      <c r="BB6" s="101"/>
      <c r="BC6" s="102"/>
      <c r="BD6" s="100"/>
      <c r="BE6" s="101"/>
      <c r="BF6" s="102"/>
      <c r="BG6" s="100"/>
      <c r="BH6" s="101"/>
      <c r="BI6" s="102"/>
      <c r="BJ6" s="100"/>
      <c r="BK6" s="103"/>
      <c r="BL6" s="99"/>
      <c r="BM6" s="100"/>
      <c r="BN6" s="101"/>
      <c r="BO6" s="102"/>
      <c r="BP6" s="100"/>
      <c r="BQ6" s="101"/>
      <c r="BR6" s="102"/>
      <c r="BS6" s="100"/>
      <c r="BT6" s="101"/>
      <c r="BU6" s="102"/>
      <c r="BV6" s="100"/>
      <c r="BW6" s="103"/>
      <c r="BX6" s="99"/>
      <c r="BY6" s="100"/>
      <c r="BZ6" s="101"/>
      <c r="CA6" s="102"/>
      <c r="CB6" s="100"/>
      <c r="CC6" s="101"/>
      <c r="CD6" s="102"/>
      <c r="CE6" s="100"/>
      <c r="CF6" s="101"/>
      <c r="CG6" s="102"/>
      <c r="CH6" s="100"/>
      <c r="CI6" s="103"/>
      <c r="CJ6" s="99"/>
      <c r="CK6" s="100"/>
      <c r="CL6" s="101"/>
      <c r="CM6" s="102"/>
      <c r="CN6" s="100"/>
      <c r="CO6" s="101"/>
      <c r="CP6" s="102"/>
      <c r="CQ6" s="100"/>
      <c r="CR6" s="101"/>
      <c r="CS6" s="102"/>
      <c r="CT6" s="100"/>
      <c r="CU6" s="103"/>
      <c r="CV6" s="99"/>
      <c r="CW6" s="100"/>
      <c r="CX6" s="101"/>
      <c r="CY6" s="102"/>
      <c r="CZ6" s="100"/>
      <c r="DA6" s="101"/>
      <c r="DB6" s="102"/>
      <c r="DC6" s="100"/>
      <c r="DD6" s="101"/>
      <c r="DE6" s="102"/>
      <c r="DF6" s="100"/>
      <c r="DG6" s="103"/>
      <c r="DH6" s="99"/>
      <c r="DI6" s="100"/>
      <c r="DJ6" s="101"/>
      <c r="DK6" s="102"/>
      <c r="DL6" s="100"/>
      <c r="DM6" s="101"/>
      <c r="DN6" s="102"/>
      <c r="DO6" s="100"/>
      <c r="DP6" s="101"/>
      <c r="DQ6" s="102"/>
      <c r="DR6" s="100"/>
      <c r="DS6" s="103"/>
      <c r="DT6" s="99"/>
      <c r="DU6" s="100"/>
      <c r="DV6" s="101"/>
      <c r="DW6" s="102"/>
      <c r="DX6" s="100"/>
      <c r="DY6" s="101"/>
      <c r="DZ6" s="102"/>
      <c r="EA6" s="100"/>
      <c r="EB6" s="101"/>
      <c r="EC6" s="102"/>
      <c r="ED6" s="100"/>
      <c r="EE6" s="103"/>
      <c r="EF6" s="99"/>
      <c r="EG6" s="100"/>
      <c r="EH6" s="101"/>
      <c r="EI6" s="102"/>
      <c r="EJ6" s="100"/>
      <c r="EK6" s="101"/>
      <c r="EL6" s="102"/>
      <c r="EM6" s="100"/>
      <c r="EN6" s="101"/>
      <c r="EO6" s="102"/>
      <c r="EP6" s="100"/>
      <c r="EQ6" s="103"/>
      <c r="ER6" s="99"/>
      <c r="ES6" s="100"/>
      <c r="ET6" s="101"/>
      <c r="EU6" s="102"/>
      <c r="EV6" s="100"/>
      <c r="EW6" s="101"/>
      <c r="EX6" s="102"/>
      <c r="EY6" s="100"/>
      <c r="EZ6" s="101"/>
      <c r="FA6" s="102"/>
      <c r="FB6" s="100"/>
      <c r="FC6" s="103"/>
      <c r="FD6" s="99"/>
      <c r="FE6" s="100"/>
      <c r="FF6" s="101"/>
      <c r="FG6" s="102"/>
      <c r="FH6" s="100"/>
      <c r="FI6" s="101"/>
      <c r="FJ6" s="102"/>
      <c r="FK6" s="100"/>
      <c r="FL6" s="101"/>
      <c r="FM6" s="102"/>
      <c r="FN6" s="100"/>
      <c r="FO6" s="103"/>
      <c r="FP6" s="99"/>
      <c r="FQ6" s="100"/>
      <c r="FR6" s="101"/>
      <c r="FS6" s="102"/>
      <c r="FT6" s="100"/>
      <c r="FU6" s="101"/>
      <c r="FV6" s="102"/>
      <c r="FW6" s="100"/>
      <c r="FX6" s="101"/>
      <c r="FY6" s="102"/>
      <c r="FZ6" s="100"/>
      <c r="GA6" s="103"/>
      <c r="GB6" s="99"/>
      <c r="GC6" s="100"/>
      <c r="GD6" s="101"/>
      <c r="GE6" s="102"/>
      <c r="GF6" s="100"/>
      <c r="GG6" s="101"/>
      <c r="GH6" s="102"/>
      <c r="GI6" s="100"/>
      <c r="GJ6" s="101"/>
      <c r="GK6" s="102"/>
      <c r="GL6" s="100"/>
      <c r="GM6" s="103"/>
    </row>
    <row r="7" spans="1:195" ht="19.5" customHeight="1" x14ac:dyDescent="0.25">
      <c r="B7" s="122" t="str">
        <f>Donnees!$C$22</f>
        <v>Travail sur le menu</v>
      </c>
      <c r="C7" s="104">
        <v>0</v>
      </c>
      <c r="D7" s="94"/>
      <c r="E7" s="95"/>
      <c r="F7" s="96"/>
      <c r="G7" s="97"/>
      <c r="H7" s="95"/>
      <c r="I7" s="96"/>
      <c r="J7" s="97"/>
      <c r="K7" s="95"/>
      <c r="L7" s="96"/>
      <c r="M7" s="97"/>
      <c r="N7" s="95"/>
      <c r="O7" s="98"/>
      <c r="P7" s="94"/>
      <c r="Q7" s="95"/>
      <c r="R7" s="96"/>
      <c r="S7" s="97"/>
      <c r="T7" s="95"/>
      <c r="U7" s="96"/>
      <c r="V7" s="97"/>
      <c r="W7" s="95"/>
      <c r="X7" s="96"/>
      <c r="Y7" s="97"/>
      <c r="Z7" s="95"/>
      <c r="AA7" s="98"/>
      <c r="AB7" s="94"/>
      <c r="AC7" s="95"/>
      <c r="AD7" s="96"/>
      <c r="AE7" s="97"/>
      <c r="AF7" s="95"/>
      <c r="AG7" s="96"/>
      <c r="AH7" s="97"/>
      <c r="AI7" s="95"/>
      <c r="AJ7" s="96"/>
      <c r="AK7" s="97"/>
      <c r="AL7" s="95"/>
      <c r="AM7" s="98"/>
      <c r="AN7" s="94"/>
      <c r="AO7" s="95"/>
      <c r="AP7" s="96"/>
      <c r="AQ7" s="97"/>
      <c r="AR7" s="95"/>
      <c r="AS7" s="96"/>
      <c r="AT7" s="97"/>
      <c r="AU7" s="95"/>
      <c r="AV7" s="96"/>
      <c r="AW7" s="97"/>
      <c r="AX7" s="95"/>
      <c r="AY7" s="98"/>
      <c r="AZ7" s="94"/>
      <c r="BA7" s="95"/>
      <c r="BB7" s="96"/>
      <c r="BC7" s="97"/>
      <c r="BD7" s="95"/>
      <c r="BE7" s="96"/>
      <c r="BF7" s="97"/>
      <c r="BG7" s="95"/>
      <c r="BH7" s="96"/>
      <c r="BI7" s="97"/>
      <c r="BJ7" s="95"/>
      <c r="BK7" s="98"/>
      <c r="BL7" s="94"/>
      <c r="BM7" s="95"/>
      <c r="BN7" s="96"/>
      <c r="BO7" s="97"/>
      <c r="BP7" s="95"/>
      <c r="BQ7" s="96"/>
      <c r="BR7" s="97"/>
      <c r="BS7" s="95"/>
      <c r="BT7" s="96"/>
      <c r="BU7" s="97"/>
      <c r="BV7" s="95"/>
      <c r="BW7" s="98"/>
      <c r="BX7" s="94"/>
      <c r="BY7" s="95"/>
      <c r="BZ7" s="96"/>
      <c r="CA7" s="97"/>
      <c r="CB7" s="95"/>
      <c r="CC7" s="96"/>
      <c r="CD7" s="97"/>
      <c r="CE7" s="95"/>
      <c r="CF7" s="96"/>
      <c r="CG7" s="97"/>
      <c r="CH7" s="95"/>
      <c r="CI7" s="98"/>
      <c r="CJ7" s="94"/>
      <c r="CK7" s="95"/>
      <c r="CL7" s="96"/>
      <c r="CM7" s="97"/>
      <c r="CN7" s="95"/>
      <c r="CO7" s="96"/>
      <c r="CP7" s="97"/>
      <c r="CQ7" s="95"/>
      <c r="CR7" s="96"/>
      <c r="CS7" s="97"/>
      <c r="CT7" s="95"/>
      <c r="CU7" s="98"/>
      <c r="CV7" s="94"/>
      <c r="CW7" s="95"/>
      <c r="CX7" s="96"/>
      <c r="CY7" s="97"/>
      <c r="CZ7" s="95"/>
      <c r="DA7" s="96"/>
      <c r="DB7" s="97"/>
      <c r="DC7" s="95"/>
      <c r="DD7" s="96"/>
      <c r="DE7" s="97"/>
      <c r="DF7" s="95"/>
      <c r="DG7" s="98"/>
      <c r="DH7" s="94"/>
      <c r="DI7" s="95"/>
      <c r="DJ7" s="96"/>
      <c r="DK7" s="97"/>
      <c r="DL7" s="95"/>
      <c r="DM7" s="96"/>
      <c r="DN7" s="97"/>
      <c r="DO7" s="95"/>
      <c r="DP7" s="96"/>
      <c r="DQ7" s="97"/>
      <c r="DR7" s="95"/>
      <c r="DS7" s="98"/>
      <c r="DT7" s="94"/>
      <c r="DU7" s="95"/>
      <c r="DV7" s="96"/>
      <c r="DW7" s="97"/>
      <c r="DX7" s="95"/>
      <c r="DY7" s="96"/>
      <c r="DZ7" s="97"/>
      <c r="EA7" s="95"/>
      <c r="EB7" s="96"/>
      <c r="EC7" s="97"/>
      <c r="ED7" s="95"/>
      <c r="EE7" s="98"/>
      <c r="EF7" s="94"/>
      <c r="EG7" s="95"/>
      <c r="EH7" s="96"/>
      <c r="EI7" s="97"/>
      <c r="EJ7" s="95"/>
      <c r="EK7" s="96"/>
      <c r="EL7" s="97"/>
      <c r="EM7" s="95"/>
      <c r="EN7" s="96"/>
      <c r="EO7" s="97"/>
      <c r="EP7" s="95"/>
      <c r="EQ7" s="98"/>
      <c r="ER7" s="94"/>
      <c r="ES7" s="95"/>
      <c r="ET7" s="96"/>
      <c r="EU7" s="97"/>
      <c r="EV7" s="95"/>
      <c r="EW7" s="96"/>
      <c r="EX7" s="97"/>
      <c r="EY7" s="95"/>
      <c r="EZ7" s="96"/>
      <c r="FA7" s="97"/>
      <c r="FB7" s="95"/>
      <c r="FC7" s="98"/>
      <c r="FD7" s="94"/>
      <c r="FE7" s="95"/>
      <c r="FF7" s="96"/>
      <c r="FG7" s="97"/>
      <c r="FH7" s="95"/>
      <c r="FI7" s="96"/>
      <c r="FJ7" s="97"/>
      <c r="FK7" s="95"/>
      <c r="FL7" s="96"/>
      <c r="FM7" s="97"/>
      <c r="FN7" s="95"/>
      <c r="FO7" s="98"/>
      <c r="FP7" s="94"/>
      <c r="FQ7" s="95"/>
      <c r="FR7" s="96"/>
      <c r="FS7" s="97"/>
      <c r="FT7" s="95"/>
      <c r="FU7" s="96"/>
      <c r="FV7" s="97"/>
      <c r="FW7" s="95"/>
      <c r="FX7" s="96"/>
      <c r="FY7" s="97"/>
      <c r="FZ7" s="95"/>
      <c r="GA7" s="98"/>
      <c r="GB7" s="94"/>
      <c r="GC7" s="95"/>
      <c r="GD7" s="96"/>
      <c r="GE7" s="97"/>
      <c r="GF7" s="95"/>
      <c r="GG7" s="96"/>
      <c r="GH7" s="97"/>
      <c r="GI7" s="95"/>
      <c r="GJ7" s="96"/>
      <c r="GK7" s="97"/>
      <c r="GL7" s="95"/>
      <c r="GM7" s="98"/>
    </row>
    <row r="8" spans="1:195" ht="19.5" customHeight="1" thickBot="1" x14ac:dyDescent="0.3">
      <c r="B8" s="121"/>
      <c r="C8" s="105">
        <v>0</v>
      </c>
      <c r="D8" s="99"/>
      <c r="E8" s="100"/>
      <c r="F8" s="101"/>
      <c r="G8" s="102"/>
      <c r="H8" s="100"/>
      <c r="I8" s="101"/>
      <c r="J8" s="102"/>
      <c r="K8" s="100"/>
      <c r="L8" s="101"/>
      <c r="M8" s="102"/>
      <c r="N8" s="100"/>
      <c r="O8" s="103"/>
      <c r="P8" s="99"/>
      <c r="Q8" s="100"/>
      <c r="R8" s="101"/>
      <c r="S8" s="102"/>
      <c r="T8" s="100"/>
      <c r="U8" s="101"/>
      <c r="V8" s="102"/>
      <c r="W8" s="100"/>
      <c r="X8" s="101"/>
      <c r="Y8" s="102"/>
      <c r="Z8" s="100"/>
      <c r="AA8" s="103"/>
      <c r="AB8" s="99"/>
      <c r="AC8" s="100"/>
      <c r="AD8" s="101"/>
      <c r="AE8" s="102"/>
      <c r="AF8" s="100"/>
      <c r="AG8" s="101"/>
      <c r="AH8" s="102"/>
      <c r="AI8" s="100"/>
      <c r="AJ8" s="101"/>
      <c r="AK8" s="102"/>
      <c r="AL8" s="100"/>
      <c r="AM8" s="103"/>
      <c r="AN8" s="99"/>
      <c r="AO8" s="100"/>
      <c r="AP8" s="101"/>
      <c r="AQ8" s="102"/>
      <c r="AR8" s="100"/>
      <c r="AS8" s="101"/>
      <c r="AT8" s="102"/>
      <c r="AU8" s="100"/>
      <c r="AV8" s="101"/>
      <c r="AW8" s="102"/>
      <c r="AX8" s="100"/>
      <c r="AY8" s="103"/>
      <c r="AZ8" s="99"/>
      <c r="BA8" s="100"/>
      <c r="BB8" s="101"/>
      <c r="BC8" s="102"/>
      <c r="BD8" s="100"/>
      <c r="BE8" s="101"/>
      <c r="BF8" s="102"/>
      <c r="BG8" s="100"/>
      <c r="BH8" s="101"/>
      <c r="BI8" s="102"/>
      <c r="BJ8" s="100"/>
      <c r="BK8" s="103"/>
      <c r="BL8" s="99"/>
      <c r="BM8" s="100"/>
      <c r="BN8" s="101"/>
      <c r="BO8" s="102"/>
      <c r="BP8" s="100"/>
      <c r="BQ8" s="101"/>
      <c r="BR8" s="102"/>
      <c r="BS8" s="100"/>
      <c r="BT8" s="101"/>
      <c r="BU8" s="102"/>
      <c r="BV8" s="100"/>
      <c r="BW8" s="103"/>
      <c r="BX8" s="99"/>
      <c r="BY8" s="100"/>
      <c r="BZ8" s="101"/>
      <c r="CA8" s="102"/>
      <c r="CB8" s="100"/>
      <c r="CC8" s="101"/>
      <c r="CD8" s="102"/>
      <c r="CE8" s="100"/>
      <c r="CF8" s="101"/>
      <c r="CG8" s="102"/>
      <c r="CH8" s="100"/>
      <c r="CI8" s="103"/>
      <c r="CJ8" s="99"/>
      <c r="CK8" s="100"/>
      <c r="CL8" s="101"/>
      <c r="CM8" s="102"/>
      <c r="CN8" s="100"/>
      <c r="CO8" s="101"/>
      <c r="CP8" s="102"/>
      <c r="CQ8" s="100"/>
      <c r="CR8" s="101"/>
      <c r="CS8" s="102"/>
      <c r="CT8" s="100"/>
      <c r="CU8" s="103"/>
      <c r="CV8" s="99"/>
      <c r="CW8" s="100"/>
      <c r="CX8" s="101"/>
      <c r="CY8" s="102"/>
      <c r="CZ8" s="100"/>
      <c r="DA8" s="101"/>
      <c r="DB8" s="102"/>
      <c r="DC8" s="100"/>
      <c r="DD8" s="101"/>
      <c r="DE8" s="102"/>
      <c r="DF8" s="100"/>
      <c r="DG8" s="103"/>
      <c r="DH8" s="99"/>
      <c r="DI8" s="100"/>
      <c r="DJ8" s="101"/>
      <c r="DK8" s="102"/>
      <c r="DL8" s="100"/>
      <c r="DM8" s="101"/>
      <c r="DN8" s="102"/>
      <c r="DO8" s="100"/>
      <c r="DP8" s="101"/>
      <c r="DQ8" s="102"/>
      <c r="DR8" s="100"/>
      <c r="DS8" s="103"/>
      <c r="DT8" s="99"/>
      <c r="DU8" s="100"/>
      <c r="DV8" s="101"/>
      <c r="DW8" s="102"/>
      <c r="DX8" s="100"/>
      <c r="DY8" s="101"/>
      <c r="DZ8" s="102"/>
      <c r="EA8" s="100"/>
      <c r="EB8" s="101"/>
      <c r="EC8" s="102"/>
      <c r="ED8" s="100"/>
      <c r="EE8" s="103"/>
      <c r="EF8" s="99"/>
      <c r="EG8" s="100"/>
      <c r="EH8" s="101"/>
      <c r="EI8" s="102"/>
      <c r="EJ8" s="100"/>
      <c r="EK8" s="101"/>
      <c r="EL8" s="102"/>
      <c r="EM8" s="100"/>
      <c r="EN8" s="101"/>
      <c r="EO8" s="102"/>
      <c r="EP8" s="100"/>
      <c r="EQ8" s="103"/>
      <c r="ER8" s="99"/>
      <c r="ES8" s="100"/>
      <c r="ET8" s="101"/>
      <c r="EU8" s="102"/>
      <c r="EV8" s="100"/>
      <c r="EW8" s="101"/>
      <c r="EX8" s="102"/>
      <c r="EY8" s="100"/>
      <c r="EZ8" s="101"/>
      <c r="FA8" s="102"/>
      <c r="FB8" s="100"/>
      <c r="FC8" s="103"/>
      <c r="FD8" s="99"/>
      <c r="FE8" s="100"/>
      <c r="FF8" s="101"/>
      <c r="FG8" s="102"/>
      <c r="FH8" s="100"/>
      <c r="FI8" s="101"/>
      <c r="FJ8" s="102"/>
      <c r="FK8" s="100"/>
      <c r="FL8" s="101"/>
      <c r="FM8" s="102"/>
      <c r="FN8" s="100"/>
      <c r="FO8" s="103"/>
      <c r="FP8" s="99"/>
      <c r="FQ8" s="100"/>
      <c r="FR8" s="101"/>
      <c r="FS8" s="102"/>
      <c r="FT8" s="100"/>
      <c r="FU8" s="101"/>
      <c r="FV8" s="102"/>
      <c r="FW8" s="100"/>
      <c r="FX8" s="101"/>
      <c r="FY8" s="102"/>
      <c r="FZ8" s="100"/>
      <c r="GA8" s="103"/>
      <c r="GB8" s="99"/>
      <c r="GC8" s="100"/>
      <c r="GD8" s="101"/>
      <c r="GE8" s="102"/>
      <c r="GF8" s="100"/>
      <c r="GG8" s="101"/>
      <c r="GH8" s="102"/>
      <c r="GI8" s="100"/>
      <c r="GJ8" s="101"/>
      <c r="GK8" s="102"/>
      <c r="GL8" s="100"/>
      <c r="GM8" s="103"/>
    </row>
    <row r="9" spans="1:195" ht="19.5" customHeight="1" x14ac:dyDescent="0.25">
      <c r="B9" s="122" t="str">
        <f>Donnees!$C$23</f>
        <v>Travail sur le vaisseau</v>
      </c>
      <c r="C9" s="104">
        <v>0</v>
      </c>
      <c r="D9" s="94"/>
      <c r="E9" s="95"/>
      <c r="F9" s="96"/>
      <c r="G9" s="97"/>
      <c r="H9" s="95"/>
      <c r="I9" s="96"/>
      <c r="J9" s="97"/>
      <c r="K9" s="95"/>
      <c r="L9" s="96"/>
      <c r="M9" s="97"/>
      <c r="N9" s="95"/>
      <c r="O9" s="98"/>
      <c r="P9" s="94"/>
      <c r="Q9" s="95"/>
      <c r="R9" s="96"/>
      <c r="S9" s="97"/>
      <c r="T9" s="95"/>
      <c r="U9" s="96"/>
      <c r="V9" s="97"/>
      <c r="W9" s="95"/>
      <c r="X9" s="96"/>
      <c r="Y9" s="97"/>
      <c r="Z9" s="95"/>
      <c r="AA9" s="98"/>
      <c r="AB9" s="94"/>
      <c r="AC9" s="95"/>
      <c r="AD9" s="96"/>
      <c r="AE9" s="97"/>
      <c r="AF9" s="95"/>
      <c r="AG9" s="96"/>
      <c r="AH9" s="97"/>
      <c r="AI9" s="95"/>
      <c r="AJ9" s="96"/>
      <c r="AK9" s="97"/>
      <c r="AL9" s="95"/>
      <c r="AM9" s="98"/>
      <c r="AN9" s="94"/>
      <c r="AO9" s="95"/>
      <c r="AP9" s="96"/>
      <c r="AQ9" s="97"/>
      <c r="AR9" s="95"/>
      <c r="AS9" s="96"/>
      <c r="AT9" s="97"/>
      <c r="AU9" s="95"/>
      <c r="AV9" s="96"/>
      <c r="AW9" s="97"/>
      <c r="AX9" s="95"/>
      <c r="AY9" s="98"/>
      <c r="AZ9" s="94"/>
      <c r="BA9" s="95"/>
      <c r="BB9" s="96"/>
      <c r="BC9" s="97"/>
      <c r="BD9" s="95"/>
      <c r="BE9" s="96"/>
      <c r="BF9" s="97"/>
      <c r="BG9" s="95"/>
      <c r="BH9" s="96"/>
      <c r="BI9" s="97"/>
      <c r="BJ9" s="95"/>
      <c r="BK9" s="98"/>
      <c r="BL9" s="94"/>
      <c r="BM9" s="95"/>
      <c r="BN9" s="96"/>
      <c r="BO9" s="97"/>
      <c r="BP9" s="95"/>
      <c r="BQ9" s="96"/>
      <c r="BR9" s="97"/>
      <c r="BS9" s="95"/>
      <c r="BT9" s="96"/>
      <c r="BU9" s="97"/>
      <c r="BV9" s="95"/>
      <c r="BW9" s="98"/>
      <c r="BX9" s="94"/>
      <c r="BY9" s="95"/>
      <c r="BZ9" s="96"/>
      <c r="CA9" s="97"/>
      <c r="CB9" s="95"/>
      <c r="CC9" s="96"/>
      <c r="CD9" s="97"/>
      <c r="CE9" s="95"/>
      <c r="CF9" s="96"/>
      <c r="CG9" s="97"/>
      <c r="CH9" s="95"/>
      <c r="CI9" s="98"/>
      <c r="CJ9" s="94"/>
      <c r="CK9" s="95"/>
      <c r="CL9" s="96"/>
      <c r="CM9" s="97"/>
      <c r="CN9" s="95"/>
      <c r="CO9" s="96"/>
      <c r="CP9" s="97"/>
      <c r="CQ9" s="95"/>
      <c r="CR9" s="96"/>
      <c r="CS9" s="97"/>
      <c r="CT9" s="95"/>
      <c r="CU9" s="98"/>
      <c r="CV9" s="94"/>
      <c r="CW9" s="95"/>
      <c r="CX9" s="96"/>
      <c r="CY9" s="97"/>
      <c r="CZ9" s="95"/>
      <c r="DA9" s="96"/>
      <c r="DB9" s="97"/>
      <c r="DC9" s="95"/>
      <c r="DD9" s="96"/>
      <c r="DE9" s="97"/>
      <c r="DF9" s="95"/>
      <c r="DG9" s="98"/>
      <c r="DH9" s="94"/>
      <c r="DI9" s="95"/>
      <c r="DJ9" s="96"/>
      <c r="DK9" s="97"/>
      <c r="DL9" s="95"/>
      <c r="DM9" s="96"/>
      <c r="DN9" s="97"/>
      <c r="DO9" s="95"/>
      <c r="DP9" s="96"/>
      <c r="DQ9" s="97"/>
      <c r="DR9" s="95"/>
      <c r="DS9" s="98"/>
      <c r="DT9" s="94"/>
      <c r="DU9" s="95"/>
      <c r="DV9" s="96"/>
      <c r="DW9" s="97"/>
      <c r="DX9" s="95"/>
      <c r="DY9" s="96"/>
      <c r="DZ9" s="97"/>
      <c r="EA9" s="95"/>
      <c r="EB9" s="96"/>
      <c r="EC9" s="97"/>
      <c r="ED9" s="95"/>
      <c r="EE9" s="98"/>
      <c r="EF9" s="94"/>
      <c r="EG9" s="95"/>
      <c r="EH9" s="96"/>
      <c r="EI9" s="97"/>
      <c r="EJ9" s="95"/>
      <c r="EK9" s="96"/>
      <c r="EL9" s="97"/>
      <c r="EM9" s="95"/>
      <c r="EN9" s="96"/>
      <c r="EO9" s="97"/>
      <c r="EP9" s="95"/>
      <c r="EQ9" s="98"/>
      <c r="ER9" s="94"/>
      <c r="ES9" s="95"/>
      <c r="ET9" s="96"/>
      <c r="EU9" s="97"/>
      <c r="EV9" s="95"/>
      <c r="EW9" s="96"/>
      <c r="EX9" s="97"/>
      <c r="EY9" s="95"/>
      <c r="EZ9" s="96"/>
      <c r="FA9" s="97"/>
      <c r="FB9" s="95"/>
      <c r="FC9" s="98"/>
      <c r="FD9" s="94"/>
      <c r="FE9" s="95"/>
      <c r="FF9" s="96"/>
      <c r="FG9" s="97"/>
      <c r="FH9" s="95"/>
      <c r="FI9" s="96"/>
      <c r="FJ9" s="97"/>
      <c r="FK9" s="95"/>
      <c r="FL9" s="96"/>
      <c r="FM9" s="97"/>
      <c r="FN9" s="95"/>
      <c r="FO9" s="98"/>
      <c r="FP9" s="94"/>
      <c r="FQ9" s="95"/>
      <c r="FR9" s="96"/>
      <c r="FS9" s="97"/>
      <c r="FT9" s="95"/>
      <c r="FU9" s="96"/>
      <c r="FV9" s="97"/>
      <c r="FW9" s="95"/>
      <c r="FX9" s="96"/>
      <c r="FY9" s="97"/>
      <c r="FZ9" s="95"/>
      <c r="GA9" s="98"/>
      <c r="GB9" s="94"/>
      <c r="GC9" s="95"/>
      <c r="GD9" s="96"/>
      <c r="GE9" s="97"/>
      <c r="GF9" s="95"/>
      <c r="GG9" s="96"/>
      <c r="GH9" s="97"/>
      <c r="GI9" s="95"/>
      <c r="GJ9" s="96"/>
      <c r="GK9" s="97"/>
      <c r="GL9" s="95"/>
      <c r="GM9" s="98"/>
    </row>
    <row r="10" spans="1:195" ht="19.5" customHeight="1" thickBot="1" x14ac:dyDescent="0.3">
      <c r="B10" s="121"/>
      <c r="C10" s="105">
        <v>0</v>
      </c>
      <c r="D10" s="99"/>
      <c r="E10" s="100"/>
      <c r="F10" s="101"/>
      <c r="G10" s="102"/>
      <c r="H10" s="100"/>
      <c r="I10" s="101"/>
      <c r="J10" s="102"/>
      <c r="K10" s="100"/>
      <c r="L10" s="101"/>
      <c r="M10" s="102"/>
      <c r="N10" s="100"/>
      <c r="O10" s="103"/>
      <c r="P10" s="99"/>
      <c r="Q10" s="100"/>
      <c r="R10" s="101"/>
      <c r="S10" s="102"/>
      <c r="T10" s="100"/>
      <c r="U10" s="101"/>
      <c r="V10" s="102"/>
      <c r="W10" s="100"/>
      <c r="X10" s="101"/>
      <c r="Y10" s="102"/>
      <c r="Z10" s="100"/>
      <c r="AA10" s="103"/>
      <c r="AB10" s="99"/>
      <c r="AC10" s="100"/>
      <c r="AD10" s="101"/>
      <c r="AE10" s="102"/>
      <c r="AF10" s="100"/>
      <c r="AG10" s="101"/>
      <c r="AH10" s="102"/>
      <c r="AI10" s="100"/>
      <c r="AJ10" s="101"/>
      <c r="AK10" s="102"/>
      <c r="AL10" s="100"/>
      <c r="AM10" s="103"/>
      <c r="AN10" s="99"/>
      <c r="AO10" s="100"/>
      <c r="AP10" s="101"/>
      <c r="AQ10" s="102"/>
      <c r="AR10" s="100"/>
      <c r="AS10" s="101"/>
      <c r="AT10" s="102"/>
      <c r="AU10" s="100"/>
      <c r="AV10" s="101"/>
      <c r="AW10" s="102"/>
      <c r="AX10" s="100"/>
      <c r="AY10" s="103"/>
      <c r="AZ10" s="99"/>
      <c r="BA10" s="100"/>
      <c r="BB10" s="101"/>
      <c r="BC10" s="102"/>
      <c r="BD10" s="100"/>
      <c r="BE10" s="101"/>
      <c r="BF10" s="102"/>
      <c r="BG10" s="100"/>
      <c r="BH10" s="101"/>
      <c r="BI10" s="102"/>
      <c r="BJ10" s="100"/>
      <c r="BK10" s="103"/>
      <c r="BL10" s="99"/>
      <c r="BM10" s="100"/>
      <c r="BN10" s="101"/>
      <c r="BO10" s="102"/>
      <c r="BP10" s="100"/>
      <c r="BQ10" s="101"/>
      <c r="BR10" s="102"/>
      <c r="BS10" s="100"/>
      <c r="BT10" s="101"/>
      <c r="BU10" s="102"/>
      <c r="BV10" s="100"/>
      <c r="BW10" s="103"/>
      <c r="BX10" s="99"/>
      <c r="BY10" s="100"/>
      <c r="BZ10" s="101"/>
      <c r="CA10" s="102"/>
      <c r="CB10" s="100"/>
      <c r="CC10" s="101"/>
      <c r="CD10" s="102"/>
      <c r="CE10" s="100"/>
      <c r="CF10" s="101"/>
      <c r="CG10" s="102"/>
      <c r="CH10" s="100"/>
      <c r="CI10" s="103"/>
      <c r="CJ10" s="99"/>
      <c r="CK10" s="100"/>
      <c r="CL10" s="101"/>
      <c r="CM10" s="102"/>
      <c r="CN10" s="100"/>
      <c r="CO10" s="101"/>
      <c r="CP10" s="102"/>
      <c r="CQ10" s="100"/>
      <c r="CR10" s="101"/>
      <c r="CS10" s="102"/>
      <c r="CT10" s="100"/>
      <c r="CU10" s="103"/>
      <c r="CV10" s="99"/>
      <c r="CW10" s="100"/>
      <c r="CX10" s="101"/>
      <c r="CY10" s="102"/>
      <c r="CZ10" s="100"/>
      <c r="DA10" s="101"/>
      <c r="DB10" s="102"/>
      <c r="DC10" s="100"/>
      <c r="DD10" s="101"/>
      <c r="DE10" s="102"/>
      <c r="DF10" s="100"/>
      <c r="DG10" s="103"/>
      <c r="DH10" s="99"/>
      <c r="DI10" s="100"/>
      <c r="DJ10" s="101"/>
      <c r="DK10" s="102"/>
      <c r="DL10" s="100"/>
      <c r="DM10" s="101"/>
      <c r="DN10" s="102"/>
      <c r="DO10" s="100"/>
      <c r="DP10" s="101"/>
      <c r="DQ10" s="102"/>
      <c r="DR10" s="100"/>
      <c r="DS10" s="103"/>
      <c r="DT10" s="99"/>
      <c r="DU10" s="100"/>
      <c r="DV10" s="101"/>
      <c r="DW10" s="102"/>
      <c r="DX10" s="100"/>
      <c r="DY10" s="101"/>
      <c r="DZ10" s="102"/>
      <c r="EA10" s="100"/>
      <c r="EB10" s="101"/>
      <c r="EC10" s="102"/>
      <c r="ED10" s="100"/>
      <c r="EE10" s="103"/>
      <c r="EF10" s="99"/>
      <c r="EG10" s="100"/>
      <c r="EH10" s="101"/>
      <c r="EI10" s="102"/>
      <c r="EJ10" s="100"/>
      <c r="EK10" s="101"/>
      <c r="EL10" s="102"/>
      <c r="EM10" s="100"/>
      <c r="EN10" s="101"/>
      <c r="EO10" s="102"/>
      <c r="EP10" s="100"/>
      <c r="EQ10" s="103"/>
      <c r="ER10" s="99"/>
      <c r="ES10" s="100"/>
      <c r="ET10" s="101"/>
      <c r="EU10" s="102"/>
      <c r="EV10" s="100"/>
      <c r="EW10" s="101"/>
      <c r="EX10" s="102"/>
      <c r="EY10" s="100"/>
      <c r="EZ10" s="101"/>
      <c r="FA10" s="102"/>
      <c r="FB10" s="100"/>
      <c r="FC10" s="103"/>
      <c r="FD10" s="99"/>
      <c r="FE10" s="100"/>
      <c r="FF10" s="101"/>
      <c r="FG10" s="102"/>
      <c r="FH10" s="100"/>
      <c r="FI10" s="101"/>
      <c r="FJ10" s="102"/>
      <c r="FK10" s="100"/>
      <c r="FL10" s="101"/>
      <c r="FM10" s="102"/>
      <c r="FN10" s="100"/>
      <c r="FO10" s="103"/>
      <c r="FP10" s="99"/>
      <c r="FQ10" s="100"/>
      <c r="FR10" s="101"/>
      <c r="FS10" s="102"/>
      <c r="FT10" s="100"/>
      <c r="FU10" s="101"/>
      <c r="FV10" s="102"/>
      <c r="FW10" s="100"/>
      <c r="FX10" s="101"/>
      <c r="FY10" s="102"/>
      <c r="FZ10" s="100"/>
      <c r="GA10" s="103"/>
      <c r="GB10" s="99"/>
      <c r="GC10" s="100"/>
      <c r="GD10" s="101"/>
      <c r="GE10" s="102"/>
      <c r="GF10" s="100"/>
      <c r="GG10" s="101"/>
      <c r="GH10" s="102"/>
      <c r="GI10" s="100"/>
      <c r="GJ10" s="101"/>
      <c r="GK10" s="102"/>
      <c r="GL10" s="100"/>
      <c r="GM10" s="103"/>
    </row>
    <row r="11" spans="1:195" ht="19.5" customHeight="1" x14ac:dyDescent="0.25">
      <c r="B11" s="122" t="str">
        <f>Donnees!$C$24</f>
        <v>Travail sur les aliens</v>
      </c>
      <c r="C11" s="104">
        <v>0</v>
      </c>
      <c r="D11" s="94"/>
      <c r="E11" s="95"/>
      <c r="F11" s="96"/>
      <c r="G11" s="97"/>
      <c r="H11" s="95"/>
      <c r="I11" s="96"/>
      <c r="J11" s="97"/>
      <c r="K11" s="95"/>
      <c r="L11" s="96"/>
      <c r="M11" s="97"/>
      <c r="N11" s="95"/>
      <c r="O11" s="98"/>
      <c r="P11" s="94"/>
      <c r="Q11" s="95"/>
      <c r="R11" s="96"/>
      <c r="S11" s="97"/>
      <c r="T11" s="95"/>
      <c r="U11" s="96"/>
      <c r="V11" s="97"/>
      <c r="W11" s="95"/>
      <c r="X11" s="96"/>
      <c r="Y11" s="97"/>
      <c r="Z11" s="95"/>
      <c r="AA11" s="98"/>
      <c r="AB11" s="94"/>
      <c r="AC11" s="95"/>
      <c r="AD11" s="96"/>
      <c r="AE11" s="97"/>
      <c r="AF11" s="95"/>
      <c r="AG11" s="96"/>
      <c r="AH11" s="97"/>
      <c r="AI11" s="95"/>
      <c r="AJ11" s="96"/>
      <c r="AK11" s="97"/>
      <c r="AL11" s="95"/>
      <c r="AM11" s="98"/>
      <c r="AN11" s="94"/>
      <c r="AO11" s="95"/>
      <c r="AP11" s="96"/>
      <c r="AQ11" s="97"/>
      <c r="AR11" s="95"/>
      <c r="AS11" s="96"/>
      <c r="AT11" s="97"/>
      <c r="AU11" s="95"/>
      <c r="AV11" s="96"/>
      <c r="AW11" s="97"/>
      <c r="AX11" s="95"/>
      <c r="AY11" s="98"/>
      <c r="AZ11" s="94"/>
      <c r="BA11" s="95"/>
      <c r="BB11" s="96"/>
      <c r="BC11" s="97"/>
      <c r="BD11" s="95"/>
      <c r="BE11" s="96"/>
      <c r="BF11" s="97"/>
      <c r="BG11" s="95"/>
      <c r="BH11" s="96"/>
      <c r="BI11" s="97"/>
      <c r="BJ11" s="95"/>
      <c r="BK11" s="98"/>
      <c r="BL11" s="94"/>
      <c r="BM11" s="95"/>
      <c r="BN11" s="96"/>
      <c r="BO11" s="97"/>
      <c r="BP11" s="95"/>
      <c r="BQ11" s="96"/>
      <c r="BR11" s="97"/>
      <c r="BS11" s="95"/>
      <c r="BT11" s="96"/>
      <c r="BU11" s="97"/>
      <c r="BV11" s="95"/>
      <c r="BW11" s="98"/>
      <c r="BX11" s="94"/>
      <c r="BY11" s="95"/>
      <c r="BZ11" s="96"/>
      <c r="CA11" s="97"/>
      <c r="CB11" s="95"/>
      <c r="CC11" s="96"/>
      <c r="CD11" s="97"/>
      <c r="CE11" s="95"/>
      <c r="CF11" s="96"/>
      <c r="CG11" s="97"/>
      <c r="CH11" s="95"/>
      <c r="CI11" s="98"/>
      <c r="CJ11" s="94"/>
      <c r="CK11" s="95"/>
      <c r="CL11" s="96"/>
      <c r="CM11" s="97"/>
      <c r="CN11" s="95"/>
      <c r="CO11" s="96"/>
      <c r="CP11" s="97"/>
      <c r="CQ11" s="95"/>
      <c r="CR11" s="96"/>
      <c r="CS11" s="97"/>
      <c r="CT11" s="95"/>
      <c r="CU11" s="98"/>
      <c r="CV11" s="94"/>
      <c r="CW11" s="95"/>
      <c r="CX11" s="96"/>
      <c r="CY11" s="97"/>
      <c r="CZ11" s="95"/>
      <c r="DA11" s="96"/>
      <c r="DB11" s="97"/>
      <c r="DC11" s="95"/>
      <c r="DD11" s="96"/>
      <c r="DE11" s="97"/>
      <c r="DF11" s="95"/>
      <c r="DG11" s="98"/>
      <c r="DH11" s="94"/>
      <c r="DI11" s="95"/>
      <c r="DJ11" s="96"/>
      <c r="DK11" s="97"/>
      <c r="DL11" s="95"/>
      <c r="DM11" s="96"/>
      <c r="DN11" s="97"/>
      <c r="DO11" s="95"/>
      <c r="DP11" s="96"/>
      <c r="DQ11" s="97"/>
      <c r="DR11" s="95"/>
      <c r="DS11" s="98"/>
      <c r="DT11" s="94"/>
      <c r="DU11" s="95"/>
      <c r="DV11" s="96"/>
      <c r="DW11" s="97"/>
      <c r="DX11" s="95"/>
      <c r="DY11" s="96"/>
      <c r="DZ11" s="97"/>
      <c r="EA11" s="95"/>
      <c r="EB11" s="96"/>
      <c r="EC11" s="97"/>
      <c r="ED11" s="95"/>
      <c r="EE11" s="98"/>
      <c r="EF11" s="94"/>
      <c r="EG11" s="95"/>
      <c r="EH11" s="96"/>
      <c r="EI11" s="97"/>
      <c r="EJ11" s="95"/>
      <c r="EK11" s="96"/>
      <c r="EL11" s="97"/>
      <c r="EM11" s="95"/>
      <c r="EN11" s="96"/>
      <c r="EO11" s="97"/>
      <c r="EP11" s="95"/>
      <c r="EQ11" s="98"/>
      <c r="ER11" s="94"/>
      <c r="ES11" s="95"/>
      <c r="ET11" s="96"/>
      <c r="EU11" s="97"/>
      <c r="EV11" s="95"/>
      <c r="EW11" s="96"/>
      <c r="EX11" s="97"/>
      <c r="EY11" s="95"/>
      <c r="EZ11" s="96"/>
      <c r="FA11" s="97"/>
      <c r="FB11" s="95"/>
      <c r="FC11" s="98"/>
      <c r="FD11" s="94"/>
      <c r="FE11" s="95"/>
      <c r="FF11" s="96"/>
      <c r="FG11" s="97"/>
      <c r="FH11" s="95"/>
      <c r="FI11" s="96"/>
      <c r="FJ11" s="97"/>
      <c r="FK11" s="95"/>
      <c r="FL11" s="96"/>
      <c r="FM11" s="97"/>
      <c r="FN11" s="95"/>
      <c r="FO11" s="98"/>
      <c r="FP11" s="94"/>
      <c r="FQ11" s="95"/>
      <c r="FR11" s="96"/>
      <c r="FS11" s="97"/>
      <c r="FT11" s="95"/>
      <c r="FU11" s="96"/>
      <c r="FV11" s="97"/>
      <c r="FW11" s="95"/>
      <c r="FX11" s="96"/>
      <c r="FY11" s="97"/>
      <c r="FZ11" s="95"/>
      <c r="GA11" s="98"/>
      <c r="GB11" s="94"/>
      <c r="GC11" s="95"/>
      <c r="GD11" s="96"/>
      <c r="GE11" s="97"/>
      <c r="GF11" s="95"/>
      <c r="GG11" s="96"/>
      <c r="GH11" s="97"/>
      <c r="GI11" s="95"/>
      <c r="GJ11" s="96"/>
      <c r="GK11" s="97"/>
      <c r="GL11" s="95"/>
      <c r="GM11" s="98"/>
    </row>
    <row r="12" spans="1:195" ht="19.5" customHeight="1" thickBot="1" x14ac:dyDescent="0.3">
      <c r="B12" s="121"/>
      <c r="C12" s="105">
        <v>0</v>
      </c>
      <c r="D12" s="99"/>
      <c r="E12" s="100"/>
      <c r="F12" s="101"/>
      <c r="G12" s="102"/>
      <c r="H12" s="100"/>
      <c r="I12" s="101"/>
      <c r="J12" s="102"/>
      <c r="K12" s="100"/>
      <c r="L12" s="101"/>
      <c r="M12" s="102"/>
      <c r="N12" s="100"/>
      <c r="O12" s="103"/>
      <c r="P12" s="99"/>
      <c r="Q12" s="100"/>
      <c r="R12" s="101"/>
      <c r="S12" s="102"/>
      <c r="T12" s="100"/>
      <c r="U12" s="101"/>
      <c r="V12" s="102"/>
      <c r="W12" s="100"/>
      <c r="X12" s="101"/>
      <c r="Y12" s="102"/>
      <c r="Z12" s="100"/>
      <c r="AA12" s="103"/>
      <c r="AB12" s="99"/>
      <c r="AC12" s="100"/>
      <c r="AD12" s="101"/>
      <c r="AE12" s="102"/>
      <c r="AF12" s="100"/>
      <c r="AG12" s="101"/>
      <c r="AH12" s="102"/>
      <c r="AI12" s="100"/>
      <c r="AJ12" s="101"/>
      <c r="AK12" s="102"/>
      <c r="AL12" s="100"/>
      <c r="AM12" s="103"/>
      <c r="AN12" s="99"/>
      <c r="AO12" s="100"/>
      <c r="AP12" s="101"/>
      <c r="AQ12" s="102"/>
      <c r="AR12" s="100"/>
      <c r="AS12" s="101"/>
      <c r="AT12" s="102"/>
      <c r="AU12" s="100"/>
      <c r="AV12" s="101"/>
      <c r="AW12" s="102"/>
      <c r="AX12" s="100"/>
      <c r="AY12" s="103"/>
      <c r="AZ12" s="99"/>
      <c r="BA12" s="100"/>
      <c r="BB12" s="101"/>
      <c r="BC12" s="102"/>
      <c r="BD12" s="100"/>
      <c r="BE12" s="101"/>
      <c r="BF12" s="102"/>
      <c r="BG12" s="100"/>
      <c r="BH12" s="101"/>
      <c r="BI12" s="102"/>
      <c r="BJ12" s="100"/>
      <c r="BK12" s="103"/>
      <c r="BL12" s="99"/>
      <c r="BM12" s="100"/>
      <c r="BN12" s="101"/>
      <c r="BO12" s="102"/>
      <c r="BP12" s="100"/>
      <c r="BQ12" s="101"/>
      <c r="BR12" s="102"/>
      <c r="BS12" s="100"/>
      <c r="BT12" s="101"/>
      <c r="BU12" s="102"/>
      <c r="BV12" s="100"/>
      <c r="BW12" s="103"/>
      <c r="BX12" s="99"/>
      <c r="BY12" s="100"/>
      <c r="BZ12" s="101"/>
      <c r="CA12" s="102"/>
      <c r="CB12" s="100"/>
      <c r="CC12" s="101"/>
      <c r="CD12" s="102"/>
      <c r="CE12" s="100"/>
      <c r="CF12" s="101"/>
      <c r="CG12" s="102"/>
      <c r="CH12" s="100"/>
      <c r="CI12" s="103"/>
      <c r="CJ12" s="99"/>
      <c r="CK12" s="100"/>
      <c r="CL12" s="101"/>
      <c r="CM12" s="102"/>
      <c r="CN12" s="100"/>
      <c r="CO12" s="101"/>
      <c r="CP12" s="102"/>
      <c r="CQ12" s="100"/>
      <c r="CR12" s="101"/>
      <c r="CS12" s="102"/>
      <c r="CT12" s="100"/>
      <c r="CU12" s="103"/>
      <c r="CV12" s="99"/>
      <c r="CW12" s="100"/>
      <c r="CX12" s="101"/>
      <c r="CY12" s="102"/>
      <c r="CZ12" s="100"/>
      <c r="DA12" s="101"/>
      <c r="DB12" s="102"/>
      <c r="DC12" s="100"/>
      <c r="DD12" s="101"/>
      <c r="DE12" s="102"/>
      <c r="DF12" s="100"/>
      <c r="DG12" s="103"/>
      <c r="DH12" s="99"/>
      <c r="DI12" s="100"/>
      <c r="DJ12" s="101"/>
      <c r="DK12" s="102"/>
      <c r="DL12" s="100"/>
      <c r="DM12" s="101"/>
      <c r="DN12" s="102"/>
      <c r="DO12" s="100"/>
      <c r="DP12" s="101"/>
      <c r="DQ12" s="102"/>
      <c r="DR12" s="100"/>
      <c r="DS12" s="103"/>
      <c r="DT12" s="99"/>
      <c r="DU12" s="100"/>
      <c r="DV12" s="101"/>
      <c r="DW12" s="102"/>
      <c r="DX12" s="100"/>
      <c r="DY12" s="101"/>
      <c r="DZ12" s="102"/>
      <c r="EA12" s="100"/>
      <c r="EB12" s="101"/>
      <c r="EC12" s="102"/>
      <c r="ED12" s="100"/>
      <c r="EE12" s="103"/>
      <c r="EF12" s="99"/>
      <c r="EG12" s="100"/>
      <c r="EH12" s="101"/>
      <c r="EI12" s="102"/>
      <c r="EJ12" s="100"/>
      <c r="EK12" s="101"/>
      <c r="EL12" s="102"/>
      <c r="EM12" s="100"/>
      <c r="EN12" s="101"/>
      <c r="EO12" s="102"/>
      <c r="EP12" s="100"/>
      <c r="EQ12" s="103"/>
      <c r="ER12" s="99"/>
      <c r="ES12" s="100"/>
      <c r="ET12" s="101"/>
      <c r="EU12" s="102"/>
      <c r="EV12" s="100"/>
      <c r="EW12" s="101"/>
      <c r="EX12" s="102"/>
      <c r="EY12" s="100"/>
      <c r="EZ12" s="101"/>
      <c r="FA12" s="102"/>
      <c r="FB12" s="100"/>
      <c r="FC12" s="103"/>
      <c r="FD12" s="99"/>
      <c r="FE12" s="100"/>
      <c r="FF12" s="101"/>
      <c r="FG12" s="102"/>
      <c r="FH12" s="100"/>
      <c r="FI12" s="101"/>
      <c r="FJ12" s="102"/>
      <c r="FK12" s="100"/>
      <c r="FL12" s="101"/>
      <c r="FM12" s="102"/>
      <c r="FN12" s="100"/>
      <c r="FO12" s="103"/>
      <c r="FP12" s="99"/>
      <c r="FQ12" s="100"/>
      <c r="FR12" s="101"/>
      <c r="FS12" s="102"/>
      <c r="FT12" s="100"/>
      <c r="FU12" s="101"/>
      <c r="FV12" s="102"/>
      <c r="FW12" s="100"/>
      <c r="FX12" s="101"/>
      <c r="FY12" s="102"/>
      <c r="FZ12" s="100"/>
      <c r="GA12" s="103"/>
      <c r="GB12" s="99"/>
      <c r="GC12" s="100"/>
      <c r="GD12" s="101"/>
      <c r="GE12" s="102"/>
      <c r="GF12" s="100"/>
      <c r="GG12" s="101"/>
      <c r="GH12" s="102"/>
      <c r="GI12" s="100"/>
      <c r="GJ12" s="101"/>
      <c r="GK12" s="102"/>
      <c r="GL12" s="100"/>
      <c r="GM12" s="103"/>
    </row>
    <row r="13" spans="1:195" ht="19.5" customHeight="1" x14ac:dyDescent="0.25">
      <c r="B13" s="122" t="str">
        <f>Donnees!$C$25</f>
        <v>Mecanique du jeu</v>
      </c>
      <c r="C13" s="104">
        <v>0</v>
      </c>
      <c r="D13" s="94"/>
      <c r="E13" s="95"/>
      <c r="F13" s="96"/>
      <c r="G13" s="97"/>
      <c r="H13" s="95"/>
      <c r="I13" s="96"/>
      <c r="J13" s="97"/>
      <c r="K13" s="95"/>
      <c r="L13" s="96"/>
      <c r="M13" s="97"/>
      <c r="N13" s="95"/>
      <c r="O13" s="98"/>
      <c r="P13" s="94"/>
      <c r="Q13" s="95"/>
      <c r="R13" s="96"/>
      <c r="S13" s="97"/>
      <c r="T13" s="95"/>
      <c r="U13" s="96"/>
      <c r="V13" s="97"/>
      <c r="W13" s="95"/>
      <c r="X13" s="96"/>
      <c r="Y13" s="97"/>
      <c r="Z13" s="95"/>
      <c r="AA13" s="98"/>
      <c r="AB13" s="94"/>
      <c r="AC13" s="95"/>
      <c r="AD13" s="96"/>
      <c r="AE13" s="97"/>
      <c r="AF13" s="95"/>
      <c r="AG13" s="96"/>
      <c r="AH13" s="97"/>
      <c r="AI13" s="95"/>
      <c r="AJ13" s="96"/>
      <c r="AK13" s="97"/>
      <c r="AL13" s="95"/>
      <c r="AM13" s="98"/>
      <c r="AN13" s="94"/>
      <c r="AO13" s="95"/>
      <c r="AP13" s="96"/>
      <c r="AQ13" s="97"/>
      <c r="AR13" s="95"/>
      <c r="AS13" s="96"/>
      <c r="AT13" s="97"/>
      <c r="AU13" s="95"/>
      <c r="AV13" s="96"/>
      <c r="AW13" s="97"/>
      <c r="AX13" s="95"/>
      <c r="AY13" s="98"/>
      <c r="AZ13" s="94"/>
      <c r="BA13" s="95"/>
      <c r="BB13" s="96"/>
      <c r="BC13" s="97"/>
      <c r="BD13" s="95"/>
      <c r="BE13" s="96"/>
      <c r="BF13" s="97"/>
      <c r="BG13" s="95"/>
      <c r="BH13" s="96"/>
      <c r="BI13" s="97"/>
      <c r="BJ13" s="95"/>
      <c r="BK13" s="98"/>
      <c r="BL13" s="94"/>
      <c r="BM13" s="95"/>
      <c r="BN13" s="96"/>
      <c r="BO13" s="97"/>
      <c r="BP13" s="95"/>
      <c r="BQ13" s="96"/>
      <c r="BR13" s="97"/>
      <c r="BS13" s="95"/>
      <c r="BT13" s="96"/>
      <c r="BU13" s="97"/>
      <c r="BV13" s="95"/>
      <c r="BW13" s="98"/>
      <c r="BX13" s="94"/>
      <c r="BY13" s="95"/>
      <c r="BZ13" s="96"/>
      <c r="CA13" s="97"/>
      <c r="CB13" s="95"/>
      <c r="CC13" s="96"/>
      <c r="CD13" s="97"/>
      <c r="CE13" s="95"/>
      <c r="CF13" s="96"/>
      <c r="CG13" s="97"/>
      <c r="CH13" s="95"/>
      <c r="CI13" s="98"/>
      <c r="CJ13" s="94"/>
      <c r="CK13" s="95"/>
      <c r="CL13" s="96"/>
      <c r="CM13" s="97"/>
      <c r="CN13" s="95"/>
      <c r="CO13" s="96"/>
      <c r="CP13" s="97"/>
      <c r="CQ13" s="95"/>
      <c r="CR13" s="96"/>
      <c r="CS13" s="97"/>
      <c r="CT13" s="95"/>
      <c r="CU13" s="98"/>
      <c r="CV13" s="94"/>
      <c r="CW13" s="95"/>
      <c r="CX13" s="96"/>
      <c r="CY13" s="97"/>
      <c r="CZ13" s="95"/>
      <c r="DA13" s="96"/>
      <c r="DB13" s="97"/>
      <c r="DC13" s="95"/>
      <c r="DD13" s="96"/>
      <c r="DE13" s="97"/>
      <c r="DF13" s="95"/>
      <c r="DG13" s="98"/>
      <c r="DH13" s="94"/>
      <c r="DI13" s="95"/>
      <c r="DJ13" s="96"/>
      <c r="DK13" s="97"/>
      <c r="DL13" s="95"/>
      <c r="DM13" s="96"/>
      <c r="DN13" s="97"/>
      <c r="DO13" s="95"/>
      <c r="DP13" s="96"/>
      <c r="DQ13" s="97"/>
      <c r="DR13" s="95"/>
      <c r="DS13" s="98"/>
      <c r="DT13" s="94"/>
      <c r="DU13" s="95"/>
      <c r="DV13" s="96"/>
      <c r="DW13" s="97"/>
      <c r="DX13" s="95"/>
      <c r="DY13" s="96"/>
      <c r="DZ13" s="97"/>
      <c r="EA13" s="95"/>
      <c r="EB13" s="96"/>
      <c r="EC13" s="97"/>
      <c r="ED13" s="95"/>
      <c r="EE13" s="98"/>
      <c r="EF13" s="94"/>
      <c r="EG13" s="95"/>
      <c r="EH13" s="96"/>
      <c r="EI13" s="97"/>
      <c r="EJ13" s="95"/>
      <c r="EK13" s="96"/>
      <c r="EL13" s="97"/>
      <c r="EM13" s="95"/>
      <c r="EN13" s="96"/>
      <c r="EO13" s="97"/>
      <c r="EP13" s="95"/>
      <c r="EQ13" s="98"/>
      <c r="ER13" s="94"/>
      <c r="ES13" s="95"/>
      <c r="ET13" s="96"/>
      <c r="EU13" s="97"/>
      <c r="EV13" s="95"/>
      <c r="EW13" s="96"/>
      <c r="EX13" s="97"/>
      <c r="EY13" s="95"/>
      <c r="EZ13" s="96"/>
      <c r="FA13" s="97"/>
      <c r="FB13" s="95"/>
      <c r="FC13" s="98"/>
      <c r="FD13" s="94"/>
      <c r="FE13" s="95"/>
      <c r="FF13" s="96"/>
      <c r="FG13" s="97"/>
      <c r="FH13" s="95"/>
      <c r="FI13" s="96"/>
      <c r="FJ13" s="97"/>
      <c r="FK13" s="95"/>
      <c r="FL13" s="96"/>
      <c r="FM13" s="97"/>
      <c r="FN13" s="95"/>
      <c r="FO13" s="98"/>
      <c r="FP13" s="94"/>
      <c r="FQ13" s="95"/>
      <c r="FR13" s="96"/>
      <c r="FS13" s="97"/>
      <c r="FT13" s="95"/>
      <c r="FU13" s="96"/>
      <c r="FV13" s="97"/>
      <c r="FW13" s="95"/>
      <c r="FX13" s="96"/>
      <c r="FY13" s="97"/>
      <c r="FZ13" s="95"/>
      <c r="GA13" s="98"/>
      <c r="GB13" s="94"/>
      <c r="GC13" s="95"/>
      <c r="GD13" s="96"/>
      <c r="GE13" s="97"/>
      <c r="GF13" s="95"/>
      <c r="GG13" s="96"/>
      <c r="GH13" s="97"/>
      <c r="GI13" s="95"/>
      <c r="GJ13" s="96"/>
      <c r="GK13" s="97"/>
      <c r="GL13" s="95"/>
      <c r="GM13" s="98"/>
    </row>
    <row r="14" spans="1:195" ht="19.5" customHeight="1" x14ac:dyDescent="0.25">
      <c r="B14" s="121"/>
      <c r="C14" s="105">
        <v>0</v>
      </c>
      <c r="D14" s="99"/>
      <c r="E14" s="100"/>
      <c r="F14" s="101"/>
      <c r="G14" s="102"/>
      <c r="H14" s="100"/>
      <c r="I14" s="101"/>
      <c r="J14" s="102"/>
      <c r="K14" s="100"/>
      <c r="L14" s="101"/>
      <c r="M14" s="102"/>
      <c r="N14" s="100"/>
      <c r="O14" s="103"/>
      <c r="P14" s="99"/>
      <c r="Q14" s="100"/>
      <c r="R14" s="101"/>
      <c r="S14" s="102"/>
      <c r="T14" s="100"/>
      <c r="U14" s="101"/>
      <c r="V14" s="102"/>
      <c r="W14" s="100"/>
      <c r="X14" s="101"/>
      <c r="Y14" s="102"/>
      <c r="Z14" s="100"/>
      <c r="AA14" s="103"/>
      <c r="AB14" s="99"/>
      <c r="AC14" s="100"/>
      <c r="AD14" s="101"/>
      <c r="AE14" s="102"/>
      <c r="AF14" s="100"/>
      <c r="AG14" s="101"/>
      <c r="AH14" s="102"/>
      <c r="AI14" s="100"/>
      <c r="AJ14" s="101"/>
      <c r="AK14" s="102"/>
      <c r="AL14" s="100"/>
      <c r="AM14" s="103"/>
      <c r="AN14" s="99"/>
      <c r="AO14" s="100"/>
      <c r="AP14" s="101"/>
      <c r="AQ14" s="102"/>
      <c r="AR14" s="100"/>
      <c r="AS14" s="101"/>
      <c r="AT14" s="102"/>
      <c r="AU14" s="100"/>
      <c r="AV14" s="101"/>
      <c r="AW14" s="102"/>
      <c r="AX14" s="100"/>
      <c r="AY14" s="103"/>
      <c r="AZ14" s="99"/>
      <c r="BA14" s="100"/>
      <c r="BB14" s="101"/>
      <c r="BC14" s="102"/>
      <c r="BD14" s="100"/>
      <c r="BE14" s="101"/>
      <c r="BF14" s="102"/>
      <c r="BG14" s="100"/>
      <c r="BH14" s="101"/>
      <c r="BI14" s="102"/>
      <c r="BJ14" s="100"/>
      <c r="BK14" s="103"/>
      <c r="BL14" s="99"/>
      <c r="BM14" s="100"/>
      <c r="BN14" s="101"/>
      <c r="BO14" s="102"/>
      <c r="BP14" s="100"/>
      <c r="BQ14" s="101"/>
      <c r="BR14" s="102"/>
      <c r="BS14" s="100"/>
      <c r="BT14" s="101"/>
      <c r="BU14" s="102"/>
      <c r="BV14" s="100"/>
      <c r="BW14" s="103"/>
      <c r="BX14" s="99"/>
      <c r="BY14" s="100"/>
      <c r="BZ14" s="101"/>
      <c r="CA14" s="102"/>
      <c r="CB14" s="100"/>
      <c r="CC14" s="101"/>
      <c r="CD14" s="102"/>
      <c r="CE14" s="100"/>
      <c r="CF14" s="101"/>
      <c r="CG14" s="102"/>
      <c r="CH14" s="100"/>
      <c r="CI14" s="103"/>
      <c r="CJ14" s="99"/>
      <c r="CK14" s="100"/>
      <c r="CL14" s="101"/>
      <c r="CM14" s="102"/>
      <c r="CN14" s="100"/>
      <c r="CO14" s="101"/>
      <c r="CP14" s="102"/>
      <c r="CQ14" s="100"/>
      <c r="CR14" s="101"/>
      <c r="CS14" s="102"/>
      <c r="CT14" s="100"/>
      <c r="CU14" s="103"/>
      <c r="CV14" s="99"/>
      <c r="CW14" s="100"/>
      <c r="CX14" s="101"/>
      <c r="CY14" s="102"/>
      <c r="CZ14" s="100"/>
      <c r="DA14" s="101"/>
      <c r="DB14" s="102"/>
      <c r="DC14" s="100"/>
      <c r="DD14" s="101"/>
      <c r="DE14" s="102"/>
      <c r="DF14" s="100"/>
      <c r="DG14" s="103"/>
      <c r="DH14" s="99"/>
      <c r="DI14" s="100"/>
      <c r="DJ14" s="101"/>
      <c r="DK14" s="102"/>
      <c r="DL14" s="100"/>
      <c r="DM14" s="101"/>
      <c r="DN14" s="102"/>
      <c r="DO14" s="100"/>
      <c r="DP14" s="101"/>
      <c r="DQ14" s="102"/>
      <c r="DR14" s="100"/>
      <c r="DS14" s="103"/>
      <c r="DT14" s="99"/>
      <c r="DU14" s="100"/>
      <c r="DV14" s="101"/>
      <c r="DW14" s="102"/>
      <c r="DX14" s="100"/>
      <c r="DY14" s="101"/>
      <c r="DZ14" s="102"/>
      <c r="EA14" s="100"/>
      <c r="EB14" s="101"/>
      <c r="EC14" s="102"/>
      <c r="ED14" s="100"/>
      <c r="EE14" s="103"/>
      <c r="EF14" s="99"/>
      <c r="EG14" s="100"/>
      <c r="EH14" s="101"/>
      <c r="EI14" s="102"/>
      <c r="EJ14" s="100"/>
      <c r="EK14" s="101"/>
      <c r="EL14" s="102"/>
      <c r="EM14" s="100"/>
      <c r="EN14" s="101"/>
      <c r="EO14" s="102"/>
      <c r="EP14" s="100"/>
      <c r="EQ14" s="103"/>
      <c r="ER14" s="99"/>
      <c r="ES14" s="100"/>
      <c r="ET14" s="101"/>
      <c r="EU14" s="102"/>
      <c r="EV14" s="100"/>
      <c r="EW14" s="101"/>
      <c r="EX14" s="102"/>
      <c r="EY14" s="100"/>
      <c r="EZ14" s="101"/>
      <c r="FA14" s="102"/>
      <c r="FB14" s="100"/>
      <c r="FC14" s="103"/>
      <c r="FD14" s="99"/>
      <c r="FE14" s="100"/>
      <c r="FF14" s="101"/>
      <c r="FG14" s="102"/>
      <c r="FH14" s="100"/>
      <c r="FI14" s="101"/>
      <c r="FJ14" s="102"/>
      <c r="FK14" s="100"/>
      <c r="FL14" s="101"/>
      <c r="FM14" s="102"/>
      <c r="FN14" s="100"/>
      <c r="FO14" s="103"/>
      <c r="FP14" s="99"/>
      <c r="FQ14" s="100"/>
      <c r="FR14" s="101"/>
      <c r="FS14" s="102"/>
      <c r="FT14" s="100"/>
      <c r="FU14" s="101"/>
      <c r="FV14" s="102"/>
      <c r="FW14" s="100"/>
      <c r="FX14" s="101"/>
      <c r="FY14" s="102"/>
      <c r="FZ14" s="100"/>
      <c r="GA14" s="103"/>
      <c r="GB14" s="99"/>
      <c r="GC14" s="100"/>
      <c r="GD14" s="101"/>
      <c r="GE14" s="102"/>
      <c r="GF14" s="100"/>
      <c r="GG14" s="101"/>
      <c r="GH14" s="102"/>
      <c r="GI14" s="100"/>
      <c r="GJ14" s="101"/>
      <c r="GK14" s="102"/>
      <c r="GL14" s="100"/>
      <c r="GM14" s="103"/>
    </row>
    <row r="15" spans="1:195" ht="19.5" customHeight="1" x14ac:dyDescent="0.25">
      <c r="B15" s="25" t="s">
        <v>16</v>
      </c>
      <c r="C15" s="27">
        <f>SUM($C$3,$C$5,$C$7,$C$9,$C$11,$C$13)</f>
        <v>0</v>
      </c>
      <c r="D15" s="106"/>
      <c r="E15" s="107"/>
      <c r="F15" s="107"/>
      <c r="G15" s="107"/>
      <c r="H15" s="107"/>
      <c r="I15" s="107"/>
      <c r="J15" s="107"/>
      <c r="K15" s="107"/>
      <c r="L15" s="107"/>
      <c r="M15" s="107"/>
      <c r="N15" s="107"/>
      <c r="O15" s="108"/>
      <c r="P15" s="106"/>
      <c r="Q15" s="107"/>
      <c r="R15" s="107"/>
      <c r="S15" s="107"/>
      <c r="T15" s="107"/>
      <c r="U15" s="107"/>
      <c r="V15" s="107"/>
      <c r="W15" s="107"/>
      <c r="X15" s="107"/>
      <c r="Y15" s="107"/>
      <c r="Z15" s="107"/>
      <c r="AA15" s="108"/>
      <c r="AB15" s="106"/>
      <c r="AC15" s="107"/>
      <c r="AD15" s="107"/>
      <c r="AE15" s="107"/>
      <c r="AF15" s="107"/>
      <c r="AG15" s="107"/>
      <c r="AH15" s="107"/>
      <c r="AI15" s="107"/>
      <c r="AJ15" s="107"/>
      <c r="AK15" s="107"/>
      <c r="AL15" s="107"/>
      <c r="AM15" s="108"/>
      <c r="AN15" s="106"/>
      <c r="AO15" s="107"/>
      <c r="AP15" s="107"/>
      <c r="AQ15" s="107"/>
      <c r="AR15" s="107"/>
      <c r="AS15" s="107"/>
      <c r="AT15" s="107"/>
      <c r="AU15" s="107"/>
      <c r="AV15" s="107"/>
      <c r="AW15" s="107"/>
      <c r="AX15" s="107"/>
      <c r="AY15" s="108"/>
      <c r="AZ15" s="106"/>
      <c r="BA15" s="107"/>
      <c r="BB15" s="107"/>
      <c r="BC15" s="107"/>
      <c r="BD15" s="107"/>
      <c r="BE15" s="107"/>
      <c r="BF15" s="107"/>
      <c r="BG15" s="107"/>
      <c r="BH15" s="107"/>
      <c r="BI15" s="107"/>
      <c r="BJ15" s="107"/>
      <c r="BK15" s="108"/>
      <c r="BL15" s="106"/>
      <c r="BM15" s="107"/>
      <c r="BN15" s="107"/>
      <c r="BO15" s="107"/>
      <c r="BP15" s="107"/>
      <c r="BQ15" s="107"/>
      <c r="BR15" s="107"/>
      <c r="BS15" s="107"/>
      <c r="BT15" s="107"/>
      <c r="BU15" s="107"/>
      <c r="BV15" s="107"/>
      <c r="BW15" s="108"/>
      <c r="BX15" s="106"/>
      <c r="BY15" s="107"/>
      <c r="BZ15" s="107"/>
      <c r="CA15" s="107"/>
      <c r="CB15" s="107"/>
      <c r="CC15" s="107"/>
      <c r="CD15" s="107"/>
      <c r="CE15" s="107"/>
      <c r="CF15" s="107"/>
      <c r="CG15" s="107"/>
      <c r="CH15" s="107"/>
      <c r="CI15" s="108"/>
      <c r="CJ15" s="106"/>
      <c r="CK15" s="107"/>
      <c r="CL15" s="107"/>
      <c r="CM15" s="107"/>
      <c r="CN15" s="107"/>
      <c r="CO15" s="107"/>
      <c r="CP15" s="107"/>
      <c r="CQ15" s="107"/>
      <c r="CR15" s="107"/>
      <c r="CS15" s="107"/>
      <c r="CT15" s="107"/>
      <c r="CU15" s="108"/>
      <c r="CV15" s="106"/>
      <c r="CW15" s="107"/>
      <c r="CX15" s="107"/>
      <c r="CY15" s="107"/>
      <c r="CZ15" s="107"/>
      <c r="DA15" s="107"/>
      <c r="DB15" s="107"/>
      <c r="DC15" s="107"/>
      <c r="DD15" s="107"/>
      <c r="DE15" s="107"/>
      <c r="DF15" s="107"/>
      <c r="DG15" s="108"/>
      <c r="DH15" s="106"/>
      <c r="DI15" s="107"/>
      <c r="DJ15" s="107"/>
      <c r="DK15" s="107"/>
      <c r="DL15" s="107"/>
      <c r="DM15" s="107"/>
      <c r="DN15" s="107"/>
      <c r="DO15" s="107"/>
      <c r="DP15" s="107"/>
      <c r="DQ15" s="107"/>
      <c r="DR15" s="107"/>
      <c r="DS15" s="108"/>
      <c r="DT15" s="106"/>
      <c r="DU15" s="107"/>
      <c r="DV15" s="107"/>
      <c r="DW15" s="107"/>
      <c r="DX15" s="107"/>
      <c r="DY15" s="107"/>
      <c r="DZ15" s="107"/>
      <c r="EA15" s="107"/>
      <c r="EB15" s="107"/>
      <c r="EC15" s="107"/>
      <c r="ED15" s="107"/>
      <c r="EE15" s="108"/>
      <c r="EF15" s="106"/>
      <c r="EG15" s="107"/>
      <c r="EH15" s="107"/>
      <c r="EI15" s="107"/>
      <c r="EJ15" s="107"/>
      <c r="EK15" s="107"/>
      <c r="EL15" s="107"/>
      <c r="EM15" s="107"/>
      <c r="EN15" s="107"/>
      <c r="EO15" s="107"/>
      <c r="EP15" s="107"/>
      <c r="EQ15" s="108"/>
      <c r="ER15" s="106"/>
      <c r="ES15" s="107"/>
      <c r="ET15" s="107"/>
      <c r="EU15" s="107"/>
      <c r="EV15" s="107"/>
      <c r="EW15" s="107"/>
      <c r="EX15" s="107"/>
      <c r="EY15" s="107"/>
      <c r="EZ15" s="107"/>
      <c r="FA15" s="107"/>
      <c r="FB15" s="107"/>
      <c r="FC15" s="108"/>
      <c r="FD15" s="106"/>
      <c r="FE15" s="107"/>
      <c r="FF15" s="107"/>
      <c r="FG15" s="107"/>
      <c r="FH15" s="107"/>
      <c r="FI15" s="107"/>
      <c r="FJ15" s="107"/>
      <c r="FK15" s="107"/>
      <c r="FL15" s="107"/>
      <c r="FM15" s="107"/>
      <c r="FN15" s="107"/>
      <c r="FO15" s="108"/>
      <c r="FP15" s="106"/>
      <c r="FQ15" s="107"/>
      <c r="FR15" s="107"/>
      <c r="FS15" s="107"/>
      <c r="FT15" s="107"/>
      <c r="FU15" s="107"/>
      <c r="FV15" s="107"/>
      <c r="FW15" s="107"/>
      <c r="FX15" s="107"/>
      <c r="FY15" s="107"/>
      <c r="FZ15" s="107"/>
      <c r="GA15" s="108"/>
      <c r="GB15" s="106"/>
      <c r="GC15" s="107"/>
      <c r="GD15" s="107"/>
      <c r="GE15" s="107"/>
      <c r="GF15" s="107"/>
      <c r="GG15" s="107"/>
      <c r="GH15" s="107"/>
      <c r="GI15" s="107"/>
      <c r="GJ15" s="107"/>
      <c r="GK15" s="107"/>
      <c r="GL15" s="107"/>
      <c r="GM15" s="108"/>
    </row>
    <row r="16" spans="1:195" ht="19.5" customHeight="1" thickBot="1" x14ac:dyDescent="0.3">
      <c r="A16" s="112"/>
      <c r="B16" s="26" t="s">
        <v>17</v>
      </c>
      <c r="C16" s="28">
        <f>SUM($C$4,$C$6,$C$8,$C$10,$C$12,$C$14)</f>
        <v>0</v>
      </c>
      <c r="D16" s="109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1"/>
      <c r="P16" s="109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111"/>
      <c r="AB16" s="109"/>
      <c r="AC16" s="110"/>
      <c r="AD16" s="110"/>
      <c r="AE16" s="110"/>
      <c r="AF16" s="110"/>
      <c r="AG16" s="110"/>
      <c r="AH16" s="110"/>
      <c r="AI16" s="110"/>
      <c r="AJ16" s="110"/>
      <c r="AK16" s="110"/>
      <c r="AL16" s="110"/>
      <c r="AM16" s="111"/>
      <c r="AN16" s="109"/>
      <c r="AO16" s="110"/>
      <c r="AP16" s="110"/>
      <c r="AQ16" s="110"/>
      <c r="AR16" s="110"/>
      <c r="AS16" s="110"/>
      <c r="AT16" s="110"/>
      <c r="AU16" s="110"/>
      <c r="AV16" s="110"/>
      <c r="AW16" s="110"/>
      <c r="AX16" s="110"/>
      <c r="AY16" s="111"/>
      <c r="AZ16" s="109"/>
      <c r="BA16" s="110"/>
      <c r="BB16" s="110"/>
      <c r="BC16" s="110"/>
      <c r="BD16" s="110"/>
      <c r="BE16" s="110"/>
      <c r="BF16" s="110"/>
      <c r="BG16" s="110"/>
      <c r="BH16" s="110"/>
      <c r="BI16" s="110"/>
      <c r="BJ16" s="110"/>
      <c r="BK16" s="111"/>
      <c r="BL16" s="109"/>
      <c r="BM16" s="110"/>
      <c r="BN16" s="110"/>
      <c r="BO16" s="110"/>
      <c r="BP16" s="110"/>
      <c r="BQ16" s="110"/>
      <c r="BR16" s="110"/>
      <c r="BS16" s="110"/>
      <c r="BT16" s="110"/>
      <c r="BU16" s="110"/>
      <c r="BV16" s="110"/>
      <c r="BW16" s="111"/>
      <c r="BX16" s="109"/>
      <c r="BY16" s="110"/>
      <c r="BZ16" s="110"/>
      <c r="CA16" s="110"/>
      <c r="CB16" s="110"/>
      <c r="CC16" s="110"/>
      <c r="CD16" s="110"/>
      <c r="CE16" s="110"/>
      <c r="CF16" s="110"/>
      <c r="CG16" s="110"/>
      <c r="CH16" s="110"/>
      <c r="CI16" s="111"/>
      <c r="CJ16" s="109"/>
      <c r="CK16" s="110"/>
      <c r="CL16" s="110"/>
      <c r="CM16" s="110"/>
      <c r="CN16" s="110"/>
      <c r="CO16" s="110"/>
      <c r="CP16" s="110"/>
      <c r="CQ16" s="110"/>
      <c r="CR16" s="110"/>
      <c r="CS16" s="110"/>
      <c r="CT16" s="110"/>
      <c r="CU16" s="111"/>
      <c r="CV16" s="109"/>
      <c r="CW16" s="110"/>
      <c r="CX16" s="110"/>
      <c r="CY16" s="110"/>
      <c r="CZ16" s="110"/>
      <c r="DA16" s="110"/>
      <c r="DB16" s="110"/>
      <c r="DC16" s="110"/>
      <c r="DD16" s="110"/>
      <c r="DE16" s="110"/>
      <c r="DF16" s="110"/>
      <c r="DG16" s="111"/>
      <c r="DH16" s="109"/>
      <c r="DI16" s="110"/>
      <c r="DJ16" s="110"/>
      <c r="DK16" s="110"/>
      <c r="DL16" s="110"/>
      <c r="DM16" s="110"/>
      <c r="DN16" s="110"/>
      <c r="DO16" s="110"/>
      <c r="DP16" s="110"/>
      <c r="DQ16" s="110"/>
      <c r="DR16" s="110"/>
      <c r="DS16" s="111"/>
      <c r="DT16" s="109"/>
      <c r="DU16" s="110"/>
      <c r="DV16" s="110"/>
      <c r="DW16" s="110"/>
      <c r="DX16" s="110"/>
      <c r="DY16" s="110"/>
      <c r="DZ16" s="110"/>
      <c r="EA16" s="110"/>
      <c r="EB16" s="110"/>
      <c r="EC16" s="110"/>
      <c r="ED16" s="110"/>
      <c r="EE16" s="111"/>
      <c r="EF16" s="109"/>
      <c r="EG16" s="110"/>
      <c r="EH16" s="110"/>
      <c r="EI16" s="110"/>
      <c r="EJ16" s="110"/>
      <c r="EK16" s="110"/>
      <c r="EL16" s="110"/>
      <c r="EM16" s="110"/>
      <c r="EN16" s="110"/>
      <c r="EO16" s="110"/>
      <c r="EP16" s="110"/>
      <c r="EQ16" s="111"/>
      <c r="ER16" s="109"/>
      <c r="ES16" s="110"/>
      <c r="ET16" s="110"/>
      <c r="EU16" s="110"/>
      <c r="EV16" s="110"/>
      <c r="EW16" s="110"/>
      <c r="EX16" s="110"/>
      <c r="EY16" s="110"/>
      <c r="EZ16" s="110"/>
      <c r="FA16" s="110"/>
      <c r="FB16" s="110"/>
      <c r="FC16" s="111"/>
      <c r="FD16" s="109"/>
      <c r="FE16" s="110"/>
      <c r="FF16" s="110"/>
      <c r="FG16" s="110"/>
      <c r="FH16" s="110"/>
      <c r="FI16" s="110"/>
      <c r="FJ16" s="110"/>
      <c r="FK16" s="110"/>
      <c r="FL16" s="110"/>
      <c r="FM16" s="110"/>
      <c r="FN16" s="110"/>
      <c r="FO16" s="111"/>
      <c r="FP16" s="109"/>
      <c r="FQ16" s="110"/>
      <c r="FR16" s="110"/>
      <c r="FS16" s="110"/>
      <c r="FT16" s="110"/>
      <c r="FU16" s="110"/>
      <c r="FV16" s="110"/>
      <c r="FW16" s="110"/>
      <c r="FX16" s="110"/>
      <c r="FY16" s="110"/>
      <c r="FZ16" s="110"/>
      <c r="GA16" s="111"/>
      <c r="GB16" s="109"/>
      <c r="GC16" s="110"/>
      <c r="GD16" s="110"/>
      <c r="GE16" s="110"/>
      <c r="GF16" s="110"/>
      <c r="GG16" s="110"/>
      <c r="GH16" s="110"/>
      <c r="GI16" s="110"/>
      <c r="GJ16" s="110"/>
      <c r="GK16" s="110"/>
      <c r="GL16" s="110"/>
      <c r="GM16" s="111"/>
    </row>
  </sheetData>
  <sheetProtection sheet="1" objects="1" scenarios="1" insertRows="0" selectLockedCells="1"/>
  <mergeCells count="22">
    <mergeCell ref="B11:B12"/>
    <mergeCell ref="B13:B14"/>
    <mergeCell ref="BL2:BW2"/>
    <mergeCell ref="B3:B4"/>
    <mergeCell ref="B5:B6"/>
    <mergeCell ref="B7:B8"/>
    <mergeCell ref="B9:B10"/>
    <mergeCell ref="D2:O2"/>
    <mergeCell ref="P2:AA2"/>
    <mergeCell ref="AB2:AM2"/>
    <mergeCell ref="AN2:AY2"/>
    <mergeCell ref="AZ2:BK2"/>
    <mergeCell ref="ER2:FC2"/>
    <mergeCell ref="FD2:FO2"/>
    <mergeCell ref="FP2:GA2"/>
    <mergeCell ref="GB2:GM2"/>
    <mergeCell ref="BX2:CI2"/>
    <mergeCell ref="CJ2:CU2"/>
    <mergeCell ref="CV2:DG2"/>
    <mergeCell ref="DH2:DS2"/>
    <mergeCell ref="DT2:EE2"/>
    <mergeCell ref="EF2:EQ2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15" xr:uid="{5BB9874E-355E-444B-8822-F0E682A9DB39}">
      <formula1>0</formula1>
      <formula2>$C$9</formula2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118" t="s">
        <v>21</v>
      </c>
      <c r="C3" s="16">
        <v>0</v>
      </c>
    </row>
    <row r="4" spans="1:4" ht="19.5" customHeight="1" x14ac:dyDescent="0.25">
      <c r="A4" s="19"/>
      <c r="B4" s="123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0551E9-934C-47A2-A4F8-92DAB777AD33}">
  <sheetPr codeName="Feuil5"/>
  <dimension ref="A1:I225"/>
  <sheetViews>
    <sheetView tabSelected="1" workbookViewId="0">
      <selection activeCell="D19" sqref="D19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 t="s">
        <v>47</v>
      </c>
      <c r="B3" s="4">
        <v>8</v>
      </c>
      <c r="C3" s="124" t="s">
        <v>52</v>
      </c>
      <c r="D3" s="9"/>
    </row>
    <row r="4" spans="1:4" s="53" customFormat="1" x14ac:dyDescent="0.25">
      <c r="A4" s="1" t="s">
        <v>28</v>
      </c>
      <c r="B4" s="2">
        <v>2</v>
      </c>
      <c r="C4" s="125" t="s">
        <v>51</v>
      </c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10</v>
      </c>
      <c r="C13" s="90" t="s">
        <v>29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14</v>
      </c>
      <c r="B15" s="7">
        <v>2</v>
      </c>
      <c r="C15" s="17"/>
      <c r="D15" s="87"/>
    </row>
    <row r="16" spans="1:4" ht="27.7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9" x14ac:dyDescent="0.25">
      <c r="A17" s="5" t="s">
        <v>47</v>
      </c>
      <c r="B17" s="4">
        <v>2</v>
      </c>
      <c r="C17" s="124" t="s">
        <v>53</v>
      </c>
      <c r="D17" s="9"/>
    </row>
    <row r="18" spans="1:9" x14ac:dyDescent="0.25">
      <c r="A18" s="1" t="s">
        <v>48</v>
      </c>
      <c r="B18" s="2">
        <v>10</v>
      </c>
      <c r="C18" s="125" t="s">
        <v>54</v>
      </c>
      <c r="D18" s="10"/>
    </row>
    <row r="19" spans="1:9" x14ac:dyDescent="0.25">
      <c r="A19" s="1"/>
      <c r="B19" s="2"/>
      <c r="C19" s="10"/>
      <c r="D19" s="10"/>
      <c r="E19" s="20"/>
      <c r="F19" s="20"/>
      <c r="G19" s="20"/>
      <c r="H19" s="20"/>
      <c r="I19" s="20"/>
    </row>
    <row r="20" spans="1:9" ht="12.75" customHeight="1" x14ac:dyDescent="0.25">
      <c r="A20" s="1"/>
      <c r="B20" s="2"/>
      <c r="C20" s="10"/>
      <c r="D20" s="10"/>
      <c r="E20" s="20"/>
      <c r="F20" s="32"/>
      <c r="G20" s="33"/>
      <c r="H20" s="34"/>
      <c r="I20" s="20"/>
    </row>
    <row r="21" spans="1:9" ht="15" x14ac:dyDescent="0.25">
      <c r="A21" s="1"/>
      <c r="B21" s="2"/>
      <c r="C21" s="10"/>
      <c r="D21" s="10"/>
      <c r="E21" s="20"/>
      <c r="F21" s="35"/>
      <c r="G21" s="31"/>
      <c r="H21" s="31"/>
      <c r="I21" s="20"/>
    </row>
    <row r="22" spans="1:9" x14ac:dyDescent="0.25">
      <c r="A22" s="1"/>
      <c r="B22" s="2"/>
      <c r="C22" s="10"/>
      <c r="D22" s="10"/>
      <c r="E22" s="20"/>
      <c r="F22" s="37"/>
      <c r="G22" s="38"/>
      <c r="H22" s="38"/>
      <c r="I22" s="20"/>
    </row>
    <row r="23" spans="1:9" x14ac:dyDescent="0.25">
      <c r="A23" s="2"/>
      <c r="B23" s="2"/>
      <c r="C23" s="10"/>
      <c r="D23" s="10"/>
      <c r="E23" s="20"/>
      <c r="F23" s="37"/>
      <c r="G23" s="38"/>
      <c r="H23" s="38"/>
      <c r="I23" s="20"/>
    </row>
    <row r="24" spans="1:9" x14ac:dyDescent="0.25">
      <c r="A24" s="2"/>
      <c r="B24" s="2"/>
      <c r="C24" s="10"/>
      <c r="D24" s="10"/>
      <c r="E24" s="20"/>
      <c r="F24" s="37"/>
      <c r="G24" s="38"/>
      <c r="H24" s="38"/>
      <c r="I24" s="20"/>
    </row>
    <row r="25" spans="1:9" x14ac:dyDescent="0.25">
      <c r="A25" s="2"/>
      <c r="B25" s="2"/>
      <c r="C25" s="10"/>
      <c r="D25" s="10"/>
      <c r="E25" s="20"/>
      <c r="F25" s="37"/>
      <c r="G25" s="38"/>
      <c r="H25" s="38"/>
      <c r="I25" s="20"/>
    </row>
    <row r="26" spans="1:9" ht="14.25" thickBot="1" x14ac:dyDescent="0.3">
      <c r="A26" s="3"/>
      <c r="B26" s="3"/>
      <c r="C26" s="11"/>
      <c r="D26" s="11"/>
      <c r="E26" s="20"/>
      <c r="F26" s="37"/>
      <c r="G26" s="38"/>
      <c r="H26" s="38"/>
      <c r="I26" s="20"/>
    </row>
    <row r="27" spans="1:9" ht="14.25" thickBot="1" x14ac:dyDescent="0.3">
      <c r="A27" s="12" t="s">
        <v>22</v>
      </c>
      <c r="B27" s="12">
        <f>SUM(B17:B26)</f>
        <v>12</v>
      </c>
      <c r="C27" s="90" t="s">
        <v>29</v>
      </c>
      <c r="D27" s="13"/>
      <c r="E27" s="20"/>
      <c r="F27" s="37"/>
      <c r="G27" s="38"/>
      <c r="H27" s="38"/>
      <c r="I27" s="20"/>
    </row>
    <row r="28" spans="1:9" ht="15" thickBot="1" x14ac:dyDescent="0.35">
      <c r="A28" s="14"/>
      <c r="B28" s="14"/>
      <c r="C28" s="14"/>
      <c r="D28" s="14"/>
      <c r="E28" s="20"/>
      <c r="F28" s="37"/>
      <c r="G28" s="38"/>
      <c r="H28" s="38"/>
      <c r="I28" s="20"/>
    </row>
    <row r="29" spans="1:9" ht="18.75" thickBot="1" x14ac:dyDescent="0.3">
      <c r="A29" s="6" t="s">
        <v>14</v>
      </c>
      <c r="B29" s="7">
        <v>3</v>
      </c>
      <c r="C29" s="17"/>
      <c r="D29" s="87"/>
      <c r="E29" s="20"/>
      <c r="F29" s="37"/>
      <c r="G29" s="38"/>
      <c r="H29" s="38"/>
      <c r="I29" s="20"/>
    </row>
    <row r="30" spans="1:9" ht="27.7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E30" s="20"/>
      <c r="F30" s="39"/>
      <c r="G30" s="40"/>
      <c r="H30" s="40"/>
      <c r="I30" s="20"/>
    </row>
    <row r="31" spans="1:9" ht="14.25" x14ac:dyDescent="0.3">
      <c r="A31" s="5"/>
      <c r="B31" s="4"/>
      <c r="C31" s="9"/>
      <c r="D31" s="9"/>
      <c r="E31" s="20"/>
      <c r="F31" s="41"/>
      <c r="G31" s="41"/>
      <c r="H31" s="41"/>
      <c r="I31" s="20"/>
    </row>
    <row r="32" spans="1:9" x14ac:dyDescent="0.25">
      <c r="A32" s="1"/>
      <c r="B32" s="2"/>
      <c r="C32" s="10"/>
      <c r="D32" s="10"/>
      <c r="E32" s="20"/>
      <c r="F32" s="20"/>
      <c r="G32" s="20"/>
      <c r="H32" s="20"/>
      <c r="I32" s="20"/>
    </row>
    <row r="33" spans="1:9" x14ac:dyDescent="0.25">
      <c r="A33" s="1"/>
      <c r="B33" s="2"/>
      <c r="C33" s="10"/>
      <c r="D33" s="10"/>
      <c r="E33" s="20"/>
      <c r="F33" s="20"/>
      <c r="G33" s="20"/>
      <c r="H33" s="20"/>
      <c r="I33" s="20"/>
    </row>
    <row r="34" spans="1:9" x14ac:dyDescent="0.25">
      <c r="A34" s="1"/>
      <c r="B34" s="2"/>
      <c r="C34" s="10"/>
      <c r="D34" s="10"/>
      <c r="E34" s="20"/>
      <c r="F34" s="20"/>
      <c r="G34" s="20"/>
      <c r="H34" s="20"/>
      <c r="I34" s="20"/>
    </row>
    <row r="35" spans="1:9" x14ac:dyDescent="0.25">
      <c r="A35" s="1"/>
      <c r="B35" s="2"/>
      <c r="C35" s="10"/>
      <c r="D35" s="10"/>
    </row>
    <row r="36" spans="1:9" x14ac:dyDescent="0.25">
      <c r="A36" s="1"/>
      <c r="B36" s="2"/>
      <c r="C36" s="10"/>
      <c r="D36" s="10"/>
    </row>
    <row r="37" spans="1:9" x14ac:dyDescent="0.25">
      <c r="A37" s="2"/>
      <c r="B37" s="2"/>
      <c r="C37" s="10"/>
      <c r="D37" s="10"/>
    </row>
    <row r="38" spans="1:9" x14ac:dyDescent="0.25">
      <c r="A38" s="2"/>
      <c r="B38" s="2"/>
      <c r="C38" s="10"/>
      <c r="D38" s="10"/>
    </row>
    <row r="39" spans="1:9" x14ac:dyDescent="0.25">
      <c r="A39" s="2"/>
      <c r="B39" s="2"/>
      <c r="C39" s="10"/>
      <c r="D39" s="10"/>
    </row>
    <row r="40" spans="1:9" ht="14.25" thickBot="1" x14ac:dyDescent="0.3">
      <c r="A40" s="3"/>
      <c r="B40" s="3"/>
      <c r="C40" s="11"/>
      <c r="D40" s="11"/>
    </row>
    <row r="41" spans="1:9" ht="14.25" thickBot="1" x14ac:dyDescent="0.3">
      <c r="A41" s="12" t="s">
        <v>22</v>
      </c>
      <c r="B41" s="12">
        <f>SUM(B31:B40)</f>
        <v>0</v>
      </c>
      <c r="C41" s="90" t="s">
        <v>29</v>
      </c>
      <c r="D41" s="13"/>
    </row>
    <row r="42" spans="1:9" ht="15" thickBot="1" x14ac:dyDescent="0.35">
      <c r="A42" s="14"/>
      <c r="B42" s="14"/>
      <c r="C42" s="14"/>
      <c r="D42" s="14"/>
    </row>
    <row r="43" spans="1:9" ht="18.75" thickBot="1" x14ac:dyDescent="0.3">
      <c r="A43" s="6" t="s">
        <v>14</v>
      </c>
      <c r="B43" s="7">
        <v>4</v>
      </c>
      <c r="C43" s="17"/>
      <c r="D43" s="87"/>
    </row>
    <row r="44" spans="1:9" ht="27.7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9" x14ac:dyDescent="0.25">
      <c r="A45" s="5"/>
      <c r="B45" s="4"/>
      <c r="C45" s="9"/>
      <c r="D45" s="9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22</v>
      </c>
      <c r="B55" s="12">
        <f>SUM(B45:B54)</f>
        <v>0</v>
      </c>
      <c r="C55" s="90" t="s">
        <v>29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14</v>
      </c>
      <c r="B57" s="7">
        <v>5</v>
      </c>
      <c r="C57" s="17"/>
      <c r="D57" s="87"/>
    </row>
    <row r="58" spans="1:4" ht="27.75" thickBot="1" x14ac:dyDescent="0.3">
      <c r="A58" s="8" t="s">
        <v>3</v>
      </c>
      <c r="B58" s="18" t="s">
        <v>15</v>
      </c>
      <c r="C58" s="8" t="s">
        <v>7</v>
      </c>
      <c r="D58" s="8" t="s">
        <v>13</v>
      </c>
    </row>
    <row r="59" spans="1:4" x14ac:dyDescent="0.25">
      <c r="A59" s="5"/>
      <c r="B59" s="4"/>
      <c r="C59" s="9"/>
      <c r="D59" s="9"/>
    </row>
    <row r="60" spans="1:4" x14ac:dyDescent="0.25">
      <c r="A60" s="1"/>
      <c r="B60" s="2"/>
      <c r="C60" s="10"/>
      <c r="D60" s="10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22</v>
      </c>
      <c r="B69" s="12">
        <f>SUM(B59:B68)</f>
        <v>0</v>
      </c>
      <c r="C69" s="90" t="s">
        <v>29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14</v>
      </c>
      <c r="B71" s="7">
        <v>6</v>
      </c>
      <c r="C71" s="17"/>
      <c r="D71" s="87"/>
    </row>
    <row r="72" spans="1:4" ht="27.75" thickBot="1" x14ac:dyDescent="0.3">
      <c r="A72" s="8" t="s">
        <v>3</v>
      </c>
      <c r="B72" s="18" t="s">
        <v>15</v>
      </c>
      <c r="C72" s="8" t="s">
        <v>7</v>
      </c>
      <c r="D72" s="8" t="s">
        <v>13</v>
      </c>
    </row>
    <row r="73" spans="1:4" x14ac:dyDescent="0.25">
      <c r="A73" s="5"/>
      <c r="B73" s="4"/>
      <c r="C73" s="9"/>
      <c r="D73" s="9"/>
    </row>
    <row r="74" spans="1:4" x14ac:dyDescent="0.25">
      <c r="A74" s="1"/>
      <c r="B74" s="2"/>
      <c r="C74" s="10"/>
      <c r="D74" s="10"/>
    </row>
    <row r="75" spans="1:4" x14ac:dyDescent="0.25">
      <c r="A75" s="1"/>
      <c r="B75" s="2"/>
      <c r="C75" s="10"/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22</v>
      </c>
      <c r="B83" s="12">
        <f>SUM(B73:B82)</f>
        <v>0</v>
      </c>
      <c r="C83" s="90" t="s">
        <v>29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14</v>
      </c>
      <c r="B85" s="7">
        <v>7</v>
      </c>
      <c r="C85" s="17"/>
      <c r="D85" s="87"/>
    </row>
    <row r="86" spans="1:4" ht="27.75" thickBot="1" x14ac:dyDescent="0.3">
      <c r="A86" s="8" t="s">
        <v>3</v>
      </c>
      <c r="B86" s="18" t="s">
        <v>15</v>
      </c>
      <c r="C86" s="8" t="s">
        <v>7</v>
      </c>
      <c r="D86" s="8" t="s">
        <v>13</v>
      </c>
    </row>
    <row r="87" spans="1:4" x14ac:dyDescent="0.25">
      <c r="A87" s="5"/>
      <c r="B87" s="4"/>
      <c r="C87" s="9"/>
      <c r="D87" s="9"/>
    </row>
    <row r="88" spans="1:4" x14ac:dyDescent="0.25">
      <c r="A88" s="1"/>
      <c r="B88" s="2"/>
      <c r="C88" s="10"/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22</v>
      </c>
      <c r="B97" s="12">
        <f>SUM(B87:B96)</f>
        <v>0</v>
      </c>
      <c r="C97" s="90" t="s">
        <v>29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14</v>
      </c>
      <c r="B99" s="7">
        <v>8</v>
      </c>
      <c r="C99" s="17"/>
      <c r="D99" s="87"/>
    </row>
    <row r="100" spans="1:4" ht="27.75" thickBot="1" x14ac:dyDescent="0.3">
      <c r="A100" s="8" t="s">
        <v>3</v>
      </c>
      <c r="B100" s="18" t="s">
        <v>15</v>
      </c>
      <c r="C100" s="8" t="s">
        <v>7</v>
      </c>
      <c r="D100" s="8" t="s">
        <v>13</v>
      </c>
    </row>
    <row r="101" spans="1:4" x14ac:dyDescent="0.25">
      <c r="A101" s="5"/>
      <c r="B101" s="4"/>
      <c r="C101" s="9"/>
      <c r="D101" s="9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22</v>
      </c>
      <c r="B111" s="12">
        <f>SUM(B101:B110)</f>
        <v>0</v>
      </c>
      <c r="C111" s="90" t="s">
        <v>29</v>
      </c>
      <c r="D111" s="13"/>
    </row>
    <row r="112" spans="1:4" ht="15" thickBot="1" x14ac:dyDescent="0.35">
      <c r="A112" s="14"/>
      <c r="B112" s="14"/>
      <c r="C112" s="14"/>
      <c r="D112" s="14"/>
    </row>
    <row r="113" spans="1:4" ht="18.75" thickBot="1" x14ac:dyDescent="0.3">
      <c r="A113" s="6" t="s">
        <v>14</v>
      </c>
      <c r="B113" s="7">
        <v>9</v>
      </c>
      <c r="C113" s="17"/>
      <c r="D113" s="87"/>
    </row>
    <row r="114" spans="1:4" ht="27.75" thickBot="1" x14ac:dyDescent="0.3">
      <c r="A114" s="8" t="s">
        <v>3</v>
      </c>
      <c r="B114" s="18" t="s">
        <v>15</v>
      </c>
      <c r="C114" s="8" t="s">
        <v>7</v>
      </c>
      <c r="D114" s="8" t="s">
        <v>13</v>
      </c>
    </row>
    <row r="115" spans="1:4" x14ac:dyDescent="0.25">
      <c r="A115" s="5"/>
      <c r="B115" s="4"/>
      <c r="C115" s="9"/>
      <c r="D115" s="9"/>
    </row>
    <row r="116" spans="1:4" x14ac:dyDescent="0.25">
      <c r="A116" s="1"/>
      <c r="B116" s="2"/>
      <c r="C116" s="10"/>
      <c r="D116" s="10"/>
    </row>
    <row r="117" spans="1:4" x14ac:dyDescent="0.25">
      <c r="A117" s="1"/>
      <c r="B117" s="2"/>
      <c r="C117" s="10"/>
      <c r="D117" s="10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2"/>
      <c r="B121" s="2"/>
      <c r="C121" s="10"/>
      <c r="D121" s="10"/>
    </row>
    <row r="122" spans="1:4" x14ac:dyDescent="0.25">
      <c r="A122" s="2"/>
      <c r="B122" s="2"/>
      <c r="C122" s="10"/>
      <c r="D122" s="10"/>
    </row>
    <row r="123" spans="1:4" x14ac:dyDescent="0.25">
      <c r="A123" s="2"/>
      <c r="B123" s="2"/>
      <c r="C123" s="10"/>
      <c r="D123" s="10"/>
    </row>
    <row r="124" spans="1:4" ht="14.25" thickBot="1" x14ac:dyDescent="0.3">
      <c r="A124" s="3"/>
      <c r="B124" s="3"/>
      <c r="C124" s="11"/>
      <c r="D124" s="11"/>
    </row>
    <row r="125" spans="1:4" ht="14.25" thickBot="1" x14ac:dyDescent="0.3">
      <c r="A125" s="12" t="s">
        <v>22</v>
      </c>
      <c r="B125" s="12">
        <f>SUM(B115:B124)</f>
        <v>0</v>
      </c>
      <c r="C125" s="90" t="s">
        <v>29</v>
      </c>
      <c r="D125" s="13"/>
    </row>
    <row r="126" spans="1:4" ht="15" thickBot="1" x14ac:dyDescent="0.35">
      <c r="A126" s="14"/>
      <c r="B126" s="14"/>
      <c r="C126" s="14"/>
      <c r="D126" s="14"/>
    </row>
    <row r="127" spans="1:4" ht="18.75" thickBot="1" x14ac:dyDescent="0.3">
      <c r="A127" s="6" t="s">
        <v>14</v>
      </c>
      <c r="B127" s="7">
        <v>10</v>
      </c>
      <c r="C127" s="17"/>
      <c r="D127" s="87"/>
    </row>
    <row r="128" spans="1:4" ht="27.75" thickBot="1" x14ac:dyDescent="0.3">
      <c r="A128" s="8" t="s">
        <v>3</v>
      </c>
      <c r="B128" s="18" t="s">
        <v>15</v>
      </c>
      <c r="C128" s="8" t="s">
        <v>7</v>
      </c>
      <c r="D128" s="8" t="s">
        <v>13</v>
      </c>
    </row>
    <row r="129" spans="1:4" x14ac:dyDescent="0.25">
      <c r="A129" s="5"/>
      <c r="B129" s="4"/>
      <c r="C129" s="9"/>
      <c r="D129" s="9"/>
    </row>
    <row r="130" spans="1:4" x14ac:dyDescent="0.25">
      <c r="A130" s="1"/>
      <c r="B130" s="2"/>
      <c r="C130" s="10"/>
      <c r="D130" s="10"/>
    </row>
    <row r="131" spans="1:4" x14ac:dyDescent="0.25">
      <c r="A131" s="1"/>
      <c r="B131" s="2"/>
      <c r="C131" s="10"/>
      <c r="D131" s="10"/>
    </row>
    <row r="132" spans="1:4" x14ac:dyDescent="0.25">
      <c r="A132" s="1"/>
      <c r="B132" s="2"/>
      <c r="C132" s="10"/>
      <c r="D132" s="10"/>
    </row>
    <row r="133" spans="1:4" x14ac:dyDescent="0.25">
      <c r="A133" s="1"/>
      <c r="B133" s="2"/>
      <c r="C133" s="10"/>
      <c r="D133" s="10"/>
    </row>
    <row r="134" spans="1:4" x14ac:dyDescent="0.25">
      <c r="A134" s="1"/>
      <c r="B134" s="2"/>
      <c r="C134" s="10"/>
      <c r="D134" s="10"/>
    </row>
    <row r="135" spans="1:4" x14ac:dyDescent="0.25">
      <c r="A135" s="2"/>
      <c r="B135" s="2"/>
      <c r="C135" s="10"/>
      <c r="D135" s="10"/>
    </row>
    <row r="136" spans="1:4" x14ac:dyDescent="0.25">
      <c r="A136" s="2"/>
      <c r="B136" s="2"/>
      <c r="C136" s="10"/>
      <c r="D136" s="10"/>
    </row>
    <row r="137" spans="1:4" x14ac:dyDescent="0.25">
      <c r="A137" s="2"/>
      <c r="B137" s="2"/>
      <c r="C137" s="10"/>
      <c r="D137" s="10"/>
    </row>
    <row r="138" spans="1:4" ht="14.25" thickBot="1" x14ac:dyDescent="0.3">
      <c r="A138" s="3"/>
      <c r="B138" s="3"/>
      <c r="C138" s="11"/>
      <c r="D138" s="11"/>
    </row>
    <row r="139" spans="1:4" ht="14.25" thickBot="1" x14ac:dyDescent="0.3">
      <c r="A139" s="12" t="s">
        <v>22</v>
      </c>
      <c r="B139" s="12">
        <f>SUM(B129:B138)</f>
        <v>0</v>
      </c>
      <c r="C139" s="90" t="s">
        <v>29</v>
      </c>
      <c r="D139" s="13"/>
    </row>
    <row r="140" spans="1:4" ht="15" thickBot="1" x14ac:dyDescent="0.35">
      <c r="A140" s="14"/>
      <c r="B140" s="14"/>
      <c r="C140" s="14"/>
      <c r="D140" s="14"/>
    </row>
    <row r="141" spans="1:4" ht="18.75" thickBot="1" x14ac:dyDescent="0.3">
      <c r="A141" s="6" t="s">
        <v>14</v>
      </c>
      <c r="B141" s="7">
        <v>11</v>
      </c>
      <c r="C141" s="17"/>
      <c r="D141" s="87"/>
    </row>
    <row r="142" spans="1:4" ht="27.75" thickBot="1" x14ac:dyDescent="0.3">
      <c r="A142" s="8" t="s">
        <v>3</v>
      </c>
      <c r="B142" s="18" t="s">
        <v>15</v>
      </c>
      <c r="C142" s="8" t="s">
        <v>7</v>
      </c>
      <c r="D142" s="8" t="s">
        <v>13</v>
      </c>
    </row>
    <row r="143" spans="1:4" x14ac:dyDescent="0.25">
      <c r="A143" s="5"/>
      <c r="B143" s="4"/>
      <c r="C143" s="9"/>
      <c r="D143" s="9"/>
    </row>
    <row r="144" spans="1:4" x14ac:dyDescent="0.25">
      <c r="A144" s="1"/>
      <c r="B144" s="2"/>
      <c r="C144" s="10"/>
      <c r="D144" s="10"/>
    </row>
    <row r="145" spans="1:4" x14ac:dyDescent="0.25">
      <c r="A145" s="1"/>
      <c r="B145" s="2"/>
      <c r="C145" s="10"/>
      <c r="D145" s="10"/>
    </row>
    <row r="146" spans="1:4" x14ac:dyDescent="0.25">
      <c r="A146" s="1"/>
      <c r="B146" s="2"/>
      <c r="C146" s="10"/>
      <c r="D146" s="10"/>
    </row>
    <row r="147" spans="1:4" x14ac:dyDescent="0.25">
      <c r="A147" s="1"/>
      <c r="B147" s="2"/>
      <c r="C147" s="10"/>
      <c r="D147" s="10"/>
    </row>
    <row r="148" spans="1:4" x14ac:dyDescent="0.25">
      <c r="A148" s="1"/>
      <c r="B148" s="2"/>
      <c r="C148" s="10"/>
      <c r="D148" s="10"/>
    </row>
    <row r="149" spans="1:4" x14ac:dyDescent="0.25">
      <c r="A149" s="2"/>
      <c r="B149" s="2"/>
      <c r="C149" s="10"/>
      <c r="D149" s="10"/>
    </row>
    <row r="150" spans="1:4" x14ac:dyDescent="0.25">
      <c r="A150" s="2"/>
      <c r="B150" s="2"/>
      <c r="C150" s="10"/>
      <c r="D150" s="10"/>
    </row>
    <row r="151" spans="1:4" x14ac:dyDescent="0.25">
      <c r="A151" s="2"/>
      <c r="B151" s="2"/>
      <c r="C151" s="10"/>
      <c r="D151" s="10"/>
    </row>
    <row r="152" spans="1:4" ht="14.25" thickBot="1" x14ac:dyDescent="0.3">
      <c r="A152" s="3"/>
      <c r="B152" s="3"/>
      <c r="C152" s="11"/>
      <c r="D152" s="11"/>
    </row>
    <row r="153" spans="1:4" ht="14.25" thickBot="1" x14ac:dyDescent="0.3">
      <c r="A153" s="12" t="s">
        <v>22</v>
      </c>
      <c r="B153" s="12">
        <f>SUM(B143:B152)</f>
        <v>0</v>
      </c>
      <c r="C153" s="90" t="s">
        <v>29</v>
      </c>
      <c r="D153" s="13"/>
    </row>
    <row r="154" spans="1:4" ht="15" thickBot="1" x14ac:dyDescent="0.35">
      <c r="A154" s="14"/>
      <c r="B154" s="14"/>
      <c r="C154" s="14"/>
      <c r="D154" s="14"/>
    </row>
    <row r="155" spans="1:4" ht="18.75" thickBot="1" x14ac:dyDescent="0.3">
      <c r="A155" s="6" t="s">
        <v>14</v>
      </c>
      <c r="B155" s="7">
        <v>12</v>
      </c>
      <c r="C155" s="17"/>
      <c r="D155" s="87"/>
    </row>
    <row r="156" spans="1:4" ht="27.75" thickBot="1" x14ac:dyDescent="0.3">
      <c r="A156" s="8" t="s">
        <v>3</v>
      </c>
      <c r="B156" s="18" t="s">
        <v>15</v>
      </c>
      <c r="C156" s="8" t="s">
        <v>7</v>
      </c>
      <c r="D156" s="8" t="s">
        <v>13</v>
      </c>
    </row>
    <row r="157" spans="1:4" x14ac:dyDescent="0.25">
      <c r="A157" s="5"/>
      <c r="B157" s="4"/>
      <c r="C157" s="9"/>
      <c r="D157" s="9"/>
    </row>
    <row r="158" spans="1:4" x14ac:dyDescent="0.25">
      <c r="A158" s="1"/>
      <c r="B158" s="2"/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2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ht="14.25" thickBot="1" x14ac:dyDescent="0.3">
      <c r="A166" s="3"/>
      <c r="B166" s="3"/>
      <c r="C166" s="11"/>
      <c r="D166" s="11"/>
    </row>
    <row r="167" spans="1:4" ht="14.25" thickBot="1" x14ac:dyDescent="0.3">
      <c r="A167" s="12" t="s">
        <v>22</v>
      </c>
      <c r="B167" s="12">
        <f>SUM(B157:B166)</f>
        <v>0</v>
      </c>
      <c r="C167" s="90" t="s">
        <v>29</v>
      </c>
      <c r="D167" s="13"/>
    </row>
    <row r="168" spans="1:4" ht="15" thickBot="1" x14ac:dyDescent="0.35">
      <c r="A168" s="14"/>
      <c r="B168" s="14"/>
      <c r="C168" s="14"/>
      <c r="D168" s="14"/>
    </row>
    <row r="169" spans="1:4" ht="18.75" thickBot="1" x14ac:dyDescent="0.3">
      <c r="A169" s="6" t="s">
        <v>14</v>
      </c>
      <c r="B169" s="7">
        <v>13</v>
      </c>
      <c r="C169" s="17"/>
      <c r="D169" s="87"/>
    </row>
    <row r="170" spans="1:4" ht="27.75" thickBot="1" x14ac:dyDescent="0.3">
      <c r="A170" s="8" t="s">
        <v>3</v>
      </c>
      <c r="B170" s="18" t="s">
        <v>15</v>
      </c>
      <c r="C170" s="8" t="s">
        <v>7</v>
      </c>
      <c r="D170" s="8" t="s">
        <v>13</v>
      </c>
    </row>
    <row r="171" spans="1:4" x14ac:dyDescent="0.25">
      <c r="A171" s="5"/>
      <c r="B171" s="4"/>
      <c r="C171" s="9"/>
      <c r="D171" s="9"/>
    </row>
    <row r="172" spans="1:4" x14ac:dyDescent="0.25">
      <c r="A172" s="1"/>
      <c r="B172" s="2"/>
      <c r="C172" s="10"/>
      <c r="D172" s="10"/>
    </row>
    <row r="173" spans="1:4" x14ac:dyDescent="0.25">
      <c r="A173" s="1"/>
      <c r="B173" s="2"/>
      <c r="C173" s="10"/>
      <c r="D173" s="10"/>
    </row>
    <row r="174" spans="1:4" x14ac:dyDescent="0.25">
      <c r="A174" s="1"/>
      <c r="B174" s="2"/>
      <c r="C174" s="10"/>
      <c r="D174" s="10"/>
    </row>
    <row r="175" spans="1:4" x14ac:dyDescent="0.25">
      <c r="A175" s="1"/>
      <c r="B175" s="2"/>
      <c r="C175" s="10"/>
      <c r="D175" s="10"/>
    </row>
    <row r="176" spans="1:4" x14ac:dyDescent="0.25">
      <c r="A176" s="1"/>
      <c r="B176" s="2"/>
      <c r="C176" s="10"/>
      <c r="D176" s="10"/>
    </row>
    <row r="177" spans="1:4" x14ac:dyDescent="0.25">
      <c r="A177" s="2"/>
      <c r="B177" s="2"/>
      <c r="C177" s="10"/>
      <c r="D177" s="10"/>
    </row>
    <row r="178" spans="1:4" x14ac:dyDescent="0.25">
      <c r="A178" s="2"/>
      <c r="B178" s="2"/>
      <c r="C178" s="10"/>
      <c r="D178" s="10"/>
    </row>
    <row r="179" spans="1:4" x14ac:dyDescent="0.25">
      <c r="A179" s="2"/>
      <c r="B179" s="2"/>
      <c r="C179" s="10"/>
      <c r="D179" s="10"/>
    </row>
    <row r="180" spans="1:4" ht="14.25" thickBot="1" x14ac:dyDescent="0.3">
      <c r="A180" s="3"/>
      <c r="B180" s="3"/>
      <c r="C180" s="11"/>
      <c r="D180" s="11"/>
    </row>
    <row r="181" spans="1:4" ht="14.25" thickBot="1" x14ac:dyDescent="0.3">
      <c r="A181" s="12" t="s">
        <v>22</v>
      </c>
      <c r="B181" s="12">
        <f>SUM(B171:B180)</f>
        <v>0</v>
      </c>
      <c r="C181" s="90" t="s">
        <v>29</v>
      </c>
      <c r="D181" s="13"/>
    </row>
    <row r="182" spans="1:4" ht="15" thickBot="1" x14ac:dyDescent="0.35">
      <c r="A182" s="14"/>
      <c r="B182" s="14"/>
      <c r="C182" s="14"/>
      <c r="D182" s="14"/>
    </row>
    <row r="183" spans="1:4" ht="18.75" thickBot="1" x14ac:dyDescent="0.3">
      <c r="A183" s="6" t="s">
        <v>14</v>
      </c>
      <c r="B183" s="7">
        <v>14</v>
      </c>
      <c r="C183" s="17"/>
      <c r="D183" s="87"/>
    </row>
    <row r="184" spans="1:4" ht="27.75" thickBot="1" x14ac:dyDescent="0.3">
      <c r="A184" s="8" t="s">
        <v>3</v>
      </c>
      <c r="B184" s="18" t="s">
        <v>15</v>
      </c>
      <c r="C184" s="8" t="s">
        <v>7</v>
      </c>
      <c r="D184" s="8" t="s">
        <v>13</v>
      </c>
    </row>
    <row r="185" spans="1:4" x14ac:dyDescent="0.25">
      <c r="A185" s="5"/>
      <c r="B185" s="4"/>
      <c r="C185" s="9"/>
      <c r="D185" s="9"/>
    </row>
    <row r="186" spans="1:4" x14ac:dyDescent="0.25">
      <c r="A186" s="1"/>
      <c r="B186" s="2"/>
      <c r="C186" s="10"/>
      <c r="D186" s="10"/>
    </row>
    <row r="187" spans="1:4" x14ac:dyDescent="0.25">
      <c r="A187" s="1"/>
      <c r="B187" s="2"/>
      <c r="C187" s="10"/>
      <c r="D187" s="10"/>
    </row>
    <row r="188" spans="1:4" x14ac:dyDescent="0.25">
      <c r="A188" s="1"/>
      <c r="B188" s="2"/>
      <c r="C188" s="10"/>
      <c r="D188" s="10"/>
    </row>
    <row r="189" spans="1:4" x14ac:dyDescent="0.25">
      <c r="A189" s="1"/>
      <c r="B189" s="2"/>
      <c r="C189" s="10"/>
      <c r="D189" s="10"/>
    </row>
    <row r="190" spans="1:4" x14ac:dyDescent="0.25">
      <c r="A190" s="1"/>
      <c r="B190" s="2"/>
      <c r="C190" s="10"/>
      <c r="D190" s="10"/>
    </row>
    <row r="191" spans="1:4" x14ac:dyDescent="0.25">
      <c r="A191" s="2"/>
      <c r="B191" s="2"/>
      <c r="C191" s="10"/>
      <c r="D191" s="10"/>
    </row>
    <row r="192" spans="1:4" x14ac:dyDescent="0.25">
      <c r="A192" s="2"/>
      <c r="B192" s="2"/>
      <c r="C192" s="10"/>
      <c r="D192" s="10"/>
    </row>
    <row r="193" spans="1:4" x14ac:dyDescent="0.25">
      <c r="A193" s="2"/>
      <c r="B193" s="2"/>
      <c r="C193" s="10"/>
      <c r="D193" s="10"/>
    </row>
    <row r="194" spans="1:4" ht="14.25" thickBot="1" x14ac:dyDescent="0.3">
      <c r="A194" s="3"/>
      <c r="B194" s="3"/>
      <c r="C194" s="11"/>
      <c r="D194" s="11"/>
    </row>
    <row r="195" spans="1:4" ht="14.25" thickBot="1" x14ac:dyDescent="0.3">
      <c r="A195" s="12" t="s">
        <v>22</v>
      </c>
      <c r="B195" s="12">
        <f>SUM(B185:B194)</f>
        <v>0</v>
      </c>
      <c r="C195" s="90" t="s">
        <v>29</v>
      </c>
      <c r="D195" s="13"/>
    </row>
    <row r="196" spans="1:4" ht="15" thickBot="1" x14ac:dyDescent="0.35">
      <c r="A196" s="14"/>
      <c r="B196" s="14"/>
      <c r="C196" s="14"/>
      <c r="D196" s="14"/>
    </row>
    <row r="197" spans="1:4" ht="18.75" thickBot="1" x14ac:dyDescent="0.3">
      <c r="A197" s="6" t="s">
        <v>14</v>
      </c>
      <c r="B197" s="7">
        <v>15</v>
      </c>
      <c r="C197" s="17"/>
      <c r="D197" s="87"/>
    </row>
    <row r="198" spans="1:4" ht="27.75" thickBot="1" x14ac:dyDescent="0.3">
      <c r="A198" s="8" t="s">
        <v>3</v>
      </c>
      <c r="B198" s="18" t="s">
        <v>15</v>
      </c>
      <c r="C198" s="8" t="s">
        <v>7</v>
      </c>
      <c r="D198" s="8" t="s">
        <v>13</v>
      </c>
    </row>
    <row r="199" spans="1:4" x14ac:dyDescent="0.25">
      <c r="A199" s="5"/>
      <c r="B199" s="4"/>
      <c r="C199" s="9"/>
      <c r="D199" s="9"/>
    </row>
    <row r="200" spans="1:4" x14ac:dyDescent="0.25">
      <c r="A200" s="1"/>
      <c r="B200" s="2"/>
      <c r="C200" s="10"/>
      <c r="D200" s="10"/>
    </row>
    <row r="201" spans="1:4" x14ac:dyDescent="0.25">
      <c r="A201" s="1"/>
      <c r="B201" s="2"/>
      <c r="C201" s="10"/>
      <c r="D201" s="10"/>
    </row>
    <row r="202" spans="1:4" x14ac:dyDescent="0.25">
      <c r="A202" s="1"/>
      <c r="B202" s="2"/>
      <c r="C202" s="10"/>
      <c r="D202" s="10"/>
    </row>
    <row r="203" spans="1:4" x14ac:dyDescent="0.25">
      <c r="A203" s="1"/>
      <c r="B203" s="2"/>
      <c r="C203" s="10"/>
      <c r="D203" s="10"/>
    </row>
    <row r="204" spans="1:4" x14ac:dyDescent="0.25">
      <c r="A204" s="1"/>
      <c r="B204" s="2"/>
      <c r="C204" s="10"/>
      <c r="D204" s="10"/>
    </row>
    <row r="205" spans="1:4" x14ac:dyDescent="0.25">
      <c r="A205" s="2"/>
      <c r="B205" s="2"/>
      <c r="C205" s="10"/>
      <c r="D205" s="10"/>
    </row>
    <row r="206" spans="1:4" x14ac:dyDescent="0.25">
      <c r="A206" s="2"/>
      <c r="B206" s="2"/>
      <c r="C206" s="10"/>
      <c r="D206" s="10"/>
    </row>
    <row r="207" spans="1:4" x14ac:dyDescent="0.25">
      <c r="A207" s="2"/>
      <c r="B207" s="2"/>
      <c r="C207" s="10"/>
      <c r="D207" s="10"/>
    </row>
    <row r="208" spans="1:4" ht="14.25" thickBot="1" x14ac:dyDescent="0.3">
      <c r="A208" s="3"/>
      <c r="B208" s="3"/>
      <c r="C208" s="11"/>
      <c r="D208" s="11"/>
    </row>
    <row r="209" spans="1:4" ht="14.25" thickBot="1" x14ac:dyDescent="0.3">
      <c r="A209" s="12" t="s">
        <v>22</v>
      </c>
      <c r="B209" s="12">
        <f>SUM(B199:B208)</f>
        <v>0</v>
      </c>
      <c r="C209" s="90" t="s">
        <v>29</v>
      </c>
      <c r="D209" s="13"/>
    </row>
    <row r="210" spans="1:4" ht="15" thickBot="1" x14ac:dyDescent="0.35">
      <c r="A210" s="14"/>
      <c r="B210" s="14"/>
      <c r="C210" s="14"/>
      <c r="D210" s="14"/>
    </row>
    <row r="211" spans="1:4" ht="18.75" thickBot="1" x14ac:dyDescent="0.3">
      <c r="A211" s="6" t="s">
        <v>14</v>
      </c>
      <c r="B211" s="7">
        <v>16</v>
      </c>
      <c r="C211" s="17"/>
      <c r="D211" s="87"/>
    </row>
    <row r="212" spans="1:4" ht="27.75" thickBot="1" x14ac:dyDescent="0.3">
      <c r="A212" s="8" t="s">
        <v>3</v>
      </c>
      <c r="B212" s="18" t="s">
        <v>15</v>
      </c>
      <c r="C212" s="8" t="s">
        <v>7</v>
      </c>
      <c r="D212" s="8" t="s">
        <v>13</v>
      </c>
    </row>
    <row r="213" spans="1:4" x14ac:dyDescent="0.25">
      <c r="A213" s="5"/>
      <c r="B213" s="4"/>
      <c r="C213" s="9"/>
      <c r="D213" s="9"/>
    </row>
    <row r="214" spans="1:4" x14ac:dyDescent="0.25">
      <c r="A214" s="1"/>
      <c r="B214" s="2"/>
      <c r="C214" s="10"/>
      <c r="D214" s="10"/>
    </row>
    <row r="215" spans="1:4" x14ac:dyDescent="0.25">
      <c r="A215" s="1"/>
      <c r="B215" s="2"/>
      <c r="C215" s="10"/>
      <c r="D215" s="10"/>
    </row>
    <row r="216" spans="1:4" x14ac:dyDescent="0.25">
      <c r="A216" s="1"/>
      <c r="B216" s="2"/>
      <c r="C216" s="10"/>
      <c r="D216" s="10"/>
    </row>
    <row r="217" spans="1:4" x14ac:dyDescent="0.25">
      <c r="A217" s="1"/>
      <c r="B217" s="2"/>
      <c r="C217" s="10"/>
      <c r="D217" s="10"/>
    </row>
    <row r="218" spans="1:4" x14ac:dyDescent="0.25">
      <c r="A218" s="1"/>
      <c r="B218" s="2"/>
      <c r="C218" s="10"/>
      <c r="D218" s="10"/>
    </row>
    <row r="219" spans="1:4" x14ac:dyDescent="0.25">
      <c r="A219" s="2"/>
      <c r="B219" s="2"/>
      <c r="C219" s="10"/>
      <c r="D219" s="10"/>
    </row>
    <row r="220" spans="1:4" x14ac:dyDescent="0.25">
      <c r="A220" s="2"/>
      <c r="B220" s="2"/>
      <c r="C220" s="10"/>
      <c r="D220" s="10"/>
    </row>
    <row r="221" spans="1:4" x14ac:dyDescent="0.25">
      <c r="A221" s="2"/>
      <c r="B221" s="2"/>
      <c r="C221" s="10"/>
      <c r="D221" s="10"/>
    </row>
    <row r="222" spans="1:4" ht="14.25" thickBot="1" x14ac:dyDescent="0.3">
      <c r="A222" s="3"/>
      <c r="B222" s="3"/>
      <c r="C222" s="11"/>
      <c r="D222" s="11"/>
    </row>
    <row r="223" spans="1:4" ht="14.25" thickBot="1" x14ac:dyDescent="0.3">
      <c r="A223" s="12" t="s">
        <v>22</v>
      </c>
      <c r="B223" s="12">
        <f>SUM(B213:B222)</f>
        <v>0</v>
      </c>
      <c r="C223" s="90" t="s">
        <v>29</v>
      </c>
      <c r="D223" s="13"/>
    </row>
    <row r="224" spans="1:4" ht="14.25" x14ac:dyDescent="0.3">
      <c r="A224" s="14"/>
      <c r="B224" s="14"/>
      <c r="C224" s="14"/>
      <c r="D224" s="14"/>
    </row>
    <row r="225" spans="1:1" x14ac:dyDescent="0.25">
      <c r="A225" s="89" t="s">
        <v>30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 A115:A124 A129:A138 A143:A152 A157:A166 A171:A180 A185:A194 A199:A208 A213:A222" xr:uid="{80D839EE-F813-4BBC-864D-DFECDBF56495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 B125 B139 B153 B167 B181 B195 B209 B223" xr:uid="{299FE7BC-9DF9-45DD-A619-D9326158E216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 B115:B124 B129:B138 B143:B152 B157:B166 B171:B180 B185:B194 B199:B208 B213:B222" xr:uid="{A0F54749-9D38-4975-B5CA-E68EDC52ADAF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 xr:uid="{A0D0187A-45AB-413F-A304-E3AB82953C29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5057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5057" r:id="rId4" name="btnImportPlanific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D31394-42F7-4D11-A3CF-7B76F232C47B}">
  <sheetPr codeName="Feuil9"/>
  <dimension ref="A1:I305"/>
  <sheetViews>
    <sheetView workbookViewId="0">
      <selection activeCell="G14" sqref="G14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45309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88" t="s">
        <v>29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45316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5"/>
      <c r="B22" s="4"/>
      <c r="C22" s="9"/>
      <c r="D22" s="9"/>
    </row>
    <row r="23" spans="1:9" x14ac:dyDescent="0.25">
      <c r="A23" s="1"/>
      <c r="B23" s="2"/>
      <c r="C23" s="10"/>
      <c r="D23" s="10"/>
    </row>
    <row r="24" spans="1:9" x14ac:dyDescent="0.25">
      <c r="A24" s="1"/>
      <c r="B24" s="2"/>
      <c r="C24" s="10"/>
      <c r="D24" s="10"/>
      <c r="E24" s="20"/>
      <c r="F24" s="20"/>
      <c r="G24" s="20"/>
      <c r="H24" s="20"/>
      <c r="I24" s="20"/>
    </row>
    <row r="25" spans="1:9" ht="12.75" customHeight="1" x14ac:dyDescent="0.25">
      <c r="A25" s="1"/>
      <c r="B25" s="2"/>
      <c r="C25" s="10"/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0</v>
      </c>
      <c r="C37" s="88" t="s">
        <v>29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45323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5"/>
      <c r="B41" s="4"/>
      <c r="C41" s="9"/>
      <c r="D41" s="9"/>
    </row>
    <row r="42" spans="1:9" x14ac:dyDescent="0.25">
      <c r="A42" s="1"/>
      <c r="B42" s="2"/>
      <c r="C42" s="10"/>
      <c r="D42" s="10"/>
    </row>
    <row r="43" spans="1:9" x14ac:dyDescent="0.25">
      <c r="A43" s="1"/>
      <c r="B43" s="2"/>
      <c r="C43" s="10"/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0</v>
      </c>
      <c r="C56" s="88" t="s">
        <v>29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45330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0</v>
      </c>
      <c r="C75" s="88" t="s">
        <v>29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45337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0</v>
      </c>
      <c r="C94" s="88" t="s">
        <v>29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45344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0</v>
      </c>
      <c r="C113" s="88" t="s">
        <v>29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$D$96+7</f>
        <v>45351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0</v>
      </c>
      <c r="C132" s="88" t="s">
        <v>29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$D$115+7</f>
        <v>45358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0</v>
      </c>
      <c r="C151" s="88" t="s">
        <v>29</v>
      </c>
      <c r="D151" s="49"/>
    </row>
    <row r="152" spans="1:4" ht="15" thickBot="1" x14ac:dyDescent="0.35">
      <c r="A152" s="50"/>
      <c r="B152" s="50"/>
      <c r="C152" s="50"/>
      <c r="D152" s="50"/>
    </row>
    <row r="153" spans="1:4" ht="18.75" thickBot="1" x14ac:dyDescent="0.3">
      <c r="A153" s="43" t="s">
        <v>14</v>
      </c>
      <c r="B153" s="44">
        <v>9</v>
      </c>
      <c r="C153" s="45" t="s">
        <v>23</v>
      </c>
      <c r="D153" s="54">
        <f>$D$134+7</f>
        <v>45365</v>
      </c>
    </row>
    <row r="154" spans="1:4" ht="27.75" thickBot="1" x14ac:dyDescent="0.3">
      <c r="A154" s="46" t="s">
        <v>3</v>
      </c>
      <c r="B154" s="47" t="s">
        <v>15</v>
      </c>
      <c r="C154" s="46" t="s">
        <v>7</v>
      </c>
      <c r="D154" s="46" t="s">
        <v>13</v>
      </c>
    </row>
    <row r="155" spans="1:4" x14ac:dyDescent="0.25">
      <c r="A155" s="5"/>
      <c r="B155" s="4"/>
      <c r="C155" s="9"/>
      <c r="D155" s="9"/>
    </row>
    <row r="156" spans="1:4" x14ac:dyDescent="0.25">
      <c r="A156" s="1"/>
      <c r="B156" s="2"/>
      <c r="C156" s="10"/>
      <c r="D156" s="10"/>
    </row>
    <row r="157" spans="1:4" x14ac:dyDescent="0.25">
      <c r="A157" s="1"/>
      <c r="B157" s="2"/>
      <c r="C157" s="10"/>
      <c r="D157" s="10"/>
    </row>
    <row r="158" spans="1:4" x14ac:dyDescent="0.25">
      <c r="A158" s="1"/>
      <c r="B158" s="2"/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1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x14ac:dyDescent="0.25">
      <c r="A166" s="2"/>
      <c r="B166" s="2"/>
      <c r="C166" s="10"/>
      <c r="D166" s="10"/>
    </row>
    <row r="167" spans="1:4" x14ac:dyDescent="0.25">
      <c r="A167" s="51"/>
      <c r="B167" s="51"/>
      <c r="C167" s="52"/>
      <c r="D167" s="52"/>
    </row>
    <row r="168" spans="1:4" x14ac:dyDescent="0.25">
      <c r="A168" s="51"/>
      <c r="B168" s="51"/>
      <c r="C168" s="52"/>
      <c r="D168" s="52"/>
    </row>
    <row r="169" spans="1:4" ht="14.25" thickBot="1" x14ac:dyDescent="0.3">
      <c r="A169" s="3"/>
      <c r="B169" s="3"/>
      <c r="C169" s="11"/>
      <c r="D169" s="11"/>
    </row>
    <row r="170" spans="1:4" ht="14.25" thickBot="1" x14ac:dyDescent="0.3">
      <c r="A170" s="48" t="s">
        <v>22</v>
      </c>
      <c r="B170" s="48">
        <f>SUM(B155:B169)</f>
        <v>0</v>
      </c>
      <c r="C170" s="88" t="s">
        <v>29</v>
      </c>
      <c r="D170" s="49"/>
    </row>
    <row r="171" spans="1:4" ht="15" thickBot="1" x14ac:dyDescent="0.35">
      <c r="A171" s="50"/>
      <c r="B171" s="50"/>
      <c r="C171" s="50"/>
      <c r="D171" s="50"/>
    </row>
    <row r="172" spans="1:4" ht="18.75" thickBot="1" x14ac:dyDescent="0.3">
      <c r="A172" s="43" t="s">
        <v>14</v>
      </c>
      <c r="B172" s="44">
        <v>10</v>
      </c>
      <c r="C172" s="45" t="s">
        <v>23</v>
      </c>
      <c r="D172" s="54">
        <f>$D$153+7</f>
        <v>45372</v>
      </c>
    </row>
    <row r="173" spans="1:4" ht="27.75" thickBot="1" x14ac:dyDescent="0.3">
      <c r="A173" s="46" t="s">
        <v>3</v>
      </c>
      <c r="B173" s="47" t="s">
        <v>15</v>
      </c>
      <c r="C173" s="46" t="s">
        <v>7</v>
      </c>
      <c r="D173" s="46" t="s">
        <v>13</v>
      </c>
    </row>
    <row r="174" spans="1:4" x14ac:dyDescent="0.25">
      <c r="A174" s="5"/>
      <c r="B174" s="4"/>
      <c r="C174" s="9"/>
      <c r="D174" s="9"/>
    </row>
    <row r="175" spans="1:4" x14ac:dyDescent="0.25">
      <c r="A175" s="1"/>
      <c r="B175" s="2"/>
      <c r="C175" s="10"/>
      <c r="D175" s="10"/>
    </row>
    <row r="176" spans="1:4" x14ac:dyDescent="0.25">
      <c r="A176" s="1"/>
      <c r="B176" s="2"/>
      <c r="C176" s="10"/>
      <c r="D176" s="10"/>
    </row>
    <row r="177" spans="1:4" x14ac:dyDescent="0.25">
      <c r="A177" s="1"/>
      <c r="B177" s="2"/>
      <c r="C177" s="10"/>
      <c r="D177" s="10"/>
    </row>
    <row r="178" spans="1:4" x14ac:dyDescent="0.25">
      <c r="A178" s="1"/>
      <c r="B178" s="2"/>
      <c r="C178" s="10"/>
      <c r="D178" s="10"/>
    </row>
    <row r="179" spans="1:4" x14ac:dyDescent="0.25">
      <c r="A179" s="1"/>
      <c r="B179" s="2"/>
      <c r="C179" s="10"/>
      <c r="D179" s="10"/>
    </row>
    <row r="180" spans="1:4" x14ac:dyDescent="0.25">
      <c r="A180" s="1"/>
      <c r="B180" s="2"/>
      <c r="C180" s="10"/>
      <c r="D180" s="10"/>
    </row>
    <row r="181" spans="1:4" x14ac:dyDescent="0.25">
      <c r="A181" s="1"/>
      <c r="B181" s="2"/>
      <c r="C181" s="10"/>
      <c r="D181" s="10"/>
    </row>
    <row r="182" spans="1:4" x14ac:dyDescent="0.25">
      <c r="A182" s="1"/>
      <c r="B182" s="2"/>
      <c r="C182" s="10"/>
      <c r="D182" s="10"/>
    </row>
    <row r="183" spans="1:4" x14ac:dyDescent="0.25">
      <c r="A183" s="2"/>
      <c r="B183" s="2"/>
      <c r="C183" s="10"/>
      <c r="D183" s="10"/>
    </row>
    <row r="184" spans="1:4" x14ac:dyDescent="0.25">
      <c r="A184" s="2"/>
      <c r="B184" s="2"/>
      <c r="C184" s="10"/>
      <c r="D184" s="10"/>
    </row>
    <row r="185" spans="1:4" x14ac:dyDescent="0.25">
      <c r="A185" s="2"/>
      <c r="B185" s="2"/>
      <c r="C185" s="10"/>
      <c r="D185" s="10"/>
    </row>
    <row r="186" spans="1:4" x14ac:dyDescent="0.25">
      <c r="A186" s="51"/>
      <c r="B186" s="51"/>
      <c r="C186" s="52"/>
      <c r="D186" s="52"/>
    </row>
    <row r="187" spans="1:4" x14ac:dyDescent="0.25">
      <c r="A187" s="51"/>
      <c r="B187" s="51"/>
      <c r="C187" s="52"/>
      <c r="D187" s="52"/>
    </row>
    <row r="188" spans="1:4" ht="14.25" thickBot="1" x14ac:dyDescent="0.3">
      <c r="A188" s="3"/>
      <c r="B188" s="3"/>
      <c r="C188" s="11"/>
      <c r="D188" s="11"/>
    </row>
    <row r="189" spans="1:4" ht="14.25" thickBot="1" x14ac:dyDescent="0.3">
      <c r="A189" s="48" t="s">
        <v>22</v>
      </c>
      <c r="B189" s="48">
        <f>SUM(B174:B188)</f>
        <v>0</v>
      </c>
      <c r="C189" s="88" t="s">
        <v>29</v>
      </c>
      <c r="D189" s="49"/>
    </row>
    <row r="190" spans="1:4" ht="15" thickBot="1" x14ac:dyDescent="0.35">
      <c r="A190" s="50"/>
      <c r="B190" s="50"/>
      <c r="C190" s="50"/>
      <c r="D190" s="50"/>
    </row>
    <row r="191" spans="1:4" ht="18.75" thickBot="1" x14ac:dyDescent="0.3">
      <c r="A191" s="43" t="s">
        <v>14</v>
      </c>
      <c r="B191" s="44">
        <v>11</v>
      </c>
      <c r="C191" s="45" t="s">
        <v>23</v>
      </c>
      <c r="D191" s="54">
        <f>$D$172+7</f>
        <v>45379</v>
      </c>
    </row>
    <row r="192" spans="1:4" ht="27.75" thickBot="1" x14ac:dyDescent="0.3">
      <c r="A192" s="46" t="s">
        <v>3</v>
      </c>
      <c r="B192" s="47" t="s">
        <v>15</v>
      </c>
      <c r="C192" s="46" t="s">
        <v>7</v>
      </c>
      <c r="D192" s="46" t="s">
        <v>13</v>
      </c>
    </row>
    <row r="193" spans="1:4" x14ac:dyDescent="0.25">
      <c r="A193" s="5"/>
      <c r="B193" s="4"/>
      <c r="C193" s="9"/>
      <c r="D193" s="9"/>
    </row>
    <row r="194" spans="1:4" x14ac:dyDescent="0.25">
      <c r="A194" s="1"/>
      <c r="B194" s="2"/>
      <c r="C194" s="10"/>
      <c r="D194" s="10"/>
    </row>
    <row r="195" spans="1:4" x14ac:dyDescent="0.25">
      <c r="A195" s="1"/>
      <c r="B195" s="2"/>
      <c r="C195" s="10"/>
      <c r="D195" s="10"/>
    </row>
    <row r="196" spans="1:4" x14ac:dyDescent="0.25">
      <c r="A196" s="1"/>
      <c r="B196" s="2"/>
      <c r="C196" s="10"/>
      <c r="D196" s="10"/>
    </row>
    <row r="197" spans="1:4" x14ac:dyDescent="0.25">
      <c r="A197" s="1"/>
      <c r="B197" s="2"/>
      <c r="C197" s="10"/>
      <c r="D197" s="10"/>
    </row>
    <row r="198" spans="1:4" x14ac:dyDescent="0.25">
      <c r="A198" s="1"/>
      <c r="B198" s="2"/>
      <c r="C198" s="10"/>
      <c r="D198" s="10"/>
    </row>
    <row r="199" spans="1:4" x14ac:dyDescent="0.25">
      <c r="A199" s="1"/>
      <c r="B199" s="2"/>
      <c r="C199" s="10"/>
      <c r="D199" s="10"/>
    </row>
    <row r="200" spans="1:4" x14ac:dyDescent="0.25">
      <c r="A200" s="1"/>
      <c r="B200" s="2"/>
      <c r="C200" s="10"/>
      <c r="D200" s="10"/>
    </row>
    <row r="201" spans="1:4" x14ac:dyDescent="0.25">
      <c r="A201" s="1"/>
      <c r="B201" s="2"/>
      <c r="C201" s="10"/>
      <c r="D201" s="10"/>
    </row>
    <row r="202" spans="1:4" x14ac:dyDescent="0.25">
      <c r="A202" s="2"/>
      <c r="B202" s="2"/>
      <c r="C202" s="10"/>
      <c r="D202" s="10"/>
    </row>
    <row r="203" spans="1:4" x14ac:dyDescent="0.25">
      <c r="A203" s="2"/>
      <c r="B203" s="2"/>
      <c r="C203" s="10"/>
      <c r="D203" s="10"/>
    </row>
    <row r="204" spans="1:4" x14ac:dyDescent="0.25">
      <c r="A204" s="2"/>
      <c r="B204" s="2"/>
      <c r="C204" s="10"/>
      <c r="D204" s="10"/>
    </row>
    <row r="205" spans="1:4" x14ac:dyDescent="0.25">
      <c r="A205" s="51"/>
      <c r="B205" s="51"/>
      <c r="C205" s="52"/>
      <c r="D205" s="52"/>
    </row>
    <row r="206" spans="1:4" x14ac:dyDescent="0.25">
      <c r="A206" s="51"/>
      <c r="B206" s="51"/>
      <c r="C206" s="52"/>
      <c r="D206" s="52"/>
    </row>
    <row r="207" spans="1:4" ht="14.25" thickBot="1" x14ac:dyDescent="0.3">
      <c r="A207" s="3"/>
      <c r="B207" s="3"/>
      <c r="C207" s="11"/>
      <c r="D207" s="11"/>
    </row>
    <row r="208" spans="1:4" ht="14.25" thickBot="1" x14ac:dyDescent="0.3">
      <c r="A208" s="48" t="s">
        <v>22</v>
      </c>
      <c r="B208" s="48">
        <f>SUM(B193:B207)</f>
        <v>0</v>
      </c>
      <c r="C208" s="88" t="s">
        <v>29</v>
      </c>
      <c r="D208" s="49"/>
    </row>
    <row r="209" spans="1:4" ht="15" thickBot="1" x14ac:dyDescent="0.35">
      <c r="A209" s="50"/>
      <c r="B209" s="50"/>
      <c r="C209" s="50"/>
      <c r="D209" s="50"/>
    </row>
    <row r="210" spans="1:4" ht="18.75" thickBot="1" x14ac:dyDescent="0.3">
      <c r="A210" s="43" t="s">
        <v>14</v>
      </c>
      <c r="B210" s="44">
        <v>12</v>
      </c>
      <c r="C210" s="45" t="s">
        <v>23</v>
      </c>
      <c r="D210" s="54">
        <f>$D$191+7</f>
        <v>45386</v>
      </c>
    </row>
    <row r="211" spans="1:4" ht="27.75" thickBot="1" x14ac:dyDescent="0.3">
      <c r="A211" s="46" t="s">
        <v>3</v>
      </c>
      <c r="B211" s="47" t="s">
        <v>15</v>
      </c>
      <c r="C211" s="46" t="s">
        <v>7</v>
      </c>
      <c r="D211" s="46" t="s">
        <v>13</v>
      </c>
    </row>
    <row r="212" spans="1:4" x14ac:dyDescent="0.25">
      <c r="A212" s="5"/>
      <c r="B212" s="4"/>
      <c r="C212" s="9"/>
      <c r="D212" s="9"/>
    </row>
    <row r="213" spans="1:4" x14ac:dyDescent="0.25">
      <c r="A213" s="1"/>
      <c r="B213" s="2"/>
      <c r="C213" s="10"/>
      <c r="D213" s="10"/>
    </row>
    <row r="214" spans="1:4" x14ac:dyDescent="0.25">
      <c r="A214" s="1"/>
      <c r="B214" s="2"/>
      <c r="C214" s="10"/>
      <c r="D214" s="10"/>
    </row>
    <row r="215" spans="1:4" x14ac:dyDescent="0.25">
      <c r="A215" s="1"/>
      <c r="B215" s="2"/>
      <c r="C215" s="10"/>
      <c r="D215" s="10"/>
    </row>
    <row r="216" spans="1:4" x14ac:dyDescent="0.25">
      <c r="A216" s="1"/>
      <c r="B216" s="2"/>
      <c r="C216" s="10"/>
      <c r="D216" s="10"/>
    </row>
    <row r="217" spans="1:4" x14ac:dyDescent="0.25">
      <c r="A217" s="1"/>
      <c r="B217" s="2"/>
      <c r="C217" s="10"/>
      <c r="D217" s="10"/>
    </row>
    <row r="218" spans="1:4" x14ac:dyDescent="0.25">
      <c r="A218" s="1"/>
      <c r="B218" s="2"/>
      <c r="C218" s="10"/>
      <c r="D218" s="10"/>
    </row>
    <row r="219" spans="1:4" x14ac:dyDescent="0.25">
      <c r="A219" s="1"/>
      <c r="B219" s="2"/>
      <c r="C219" s="10"/>
      <c r="D219" s="10"/>
    </row>
    <row r="220" spans="1:4" x14ac:dyDescent="0.25">
      <c r="A220" s="1"/>
      <c r="B220" s="2"/>
      <c r="C220" s="10"/>
      <c r="D220" s="10"/>
    </row>
    <row r="221" spans="1:4" x14ac:dyDescent="0.25">
      <c r="A221" s="2"/>
      <c r="B221" s="2"/>
      <c r="C221" s="10"/>
      <c r="D221" s="10"/>
    </row>
    <row r="222" spans="1:4" x14ac:dyDescent="0.25">
      <c r="A222" s="2"/>
      <c r="B222" s="2"/>
      <c r="C222" s="10"/>
      <c r="D222" s="10"/>
    </row>
    <row r="223" spans="1:4" x14ac:dyDescent="0.25">
      <c r="A223" s="2"/>
      <c r="B223" s="2"/>
      <c r="C223" s="10"/>
      <c r="D223" s="10"/>
    </row>
    <row r="224" spans="1:4" x14ac:dyDescent="0.25">
      <c r="A224" s="51"/>
      <c r="B224" s="51"/>
      <c r="C224" s="52"/>
      <c r="D224" s="52"/>
    </row>
    <row r="225" spans="1:4" x14ac:dyDescent="0.25">
      <c r="A225" s="51"/>
      <c r="B225" s="51"/>
      <c r="C225" s="52"/>
      <c r="D225" s="52"/>
    </row>
    <row r="226" spans="1:4" ht="14.25" thickBot="1" x14ac:dyDescent="0.3">
      <c r="A226" s="3"/>
      <c r="B226" s="3"/>
      <c r="C226" s="11"/>
      <c r="D226" s="11"/>
    </row>
    <row r="227" spans="1:4" ht="14.25" thickBot="1" x14ac:dyDescent="0.3">
      <c r="A227" s="48" t="s">
        <v>22</v>
      </c>
      <c r="B227" s="48">
        <f>SUM(B212:B226)</f>
        <v>0</v>
      </c>
      <c r="C227" s="88" t="s">
        <v>29</v>
      </c>
      <c r="D227" s="49"/>
    </row>
    <row r="228" spans="1:4" ht="15" thickBot="1" x14ac:dyDescent="0.35">
      <c r="A228" s="50"/>
      <c r="B228" s="50"/>
      <c r="C228" s="50"/>
      <c r="D228" s="50"/>
    </row>
    <row r="229" spans="1:4" ht="18.75" thickBot="1" x14ac:dyDescent="0.3">
      <c r="A229" s="43" t="s">
        <v>14</v>
      </c>
      <c r="B229" s="44">
        <v>13</v>
      </c>
      <c r="C229" s="45" t="s">
        <v>23</v>
      </c>
      <c r="D229" s="54">
        <f>$D$210+7</f>
        <v>45393</v>
      </c>
    </row>
    <row r="230" spans="1:4" ht="27.75" thickBot="1" x14ac:dyDescent="0.3">
      <c r="A230" s="46" t="s">
        <v>3</v>
      </c>
      <c r="B230" s="47" t="s">
        <v>15</v>
      </c>
      <c r="C230" s="46" t="s">
        <v>7</v>
      </c>
      <c r="D230" s="46" t="s">
        <v>13</v>
      </c>
    </row>
    <row r="231" spans="1:4" x14ac:dyDescent="0.25">
      <c r="A231" s="5"/>
      <c r="B231" s="4"/>
      <c r="C231" s="9"/>
      <c r="D231" s="9"/>
    </row>
    <row r="232" spans="1:4" x14ac:dyDescent="0.25">
      <c r="A232" s="1"/>
      <c r="B232" s="2"/>
      <c r="C232" s="10"/>
      <c r="D232" s="10"/>
    </row>
    <row r="233" spans="1:4" x14ac:dyDescent="0.25">
      <c r="A233" s="1"/>
      <c r="B233" s="2"/>
      <c r="C233" s="10"/>
      <c r="D233" s="10"/>
    </row>
    <row r="234" spans="1:4" x14ac:dyDescent="0.25">
      <c r="A234" s="1"/>
      <c r="B234" s="2"/>
      <c r="C234" s="10"/>
      <c r="D234" s="10"/>
    </row>
    <row r="235" spans="1:4" x14ac:dyDescent="0.25">
      <c r="A235" s="1"/>
      <c r="B235" s="2"/>
      <c r="C235" s="10"/>
      <c r="D235" s="10"/>
    </row>
    <row r="236" spans="1:4" x14ac:dyDescent="0.25">
      <c r="A236" s="1"/>
      <c r="B236" s="2"/>
      <c r="C236" s="10"/>
      <c r="D236" s="10"/>
    </row>
    <row r="237" spans="1:4" x14ac:dyDescent="0.25">
      <c r="A237" s="1"/>
      <c r="B237" s="2"/>
      <c r="C237" s="10"/>
      <c r="D237" s="10"/>
    </row>
    <row r="238" spans="1:4" x14ac:dyDescent="0.25">
      <c r="A238" s="1"/>
      <c r="B238" s="2"/>
      <c r="C238" s="10"/>
      <c r="D238" s="10"/>
    </row>
    <row r="239" spans="1:4" x14ac:dyDescent="0.25">
      <c r="A239" s="1"/>
      <c r="B239" s="2"/>
      <c r="C239" s="10"/>
      <c r="D239" s="10"/>
    </row>
    <row r="240" spans="1:4" x14ac:dyDescent="0.25">
      <c r="A240" s="2"/>
      <c r="B240" s="2"/>
      <c r="C240" s="10"/>
      <c r="D240" s="10"/>
    </row>
    <row r="241" spans="1:4" x14ac:dyDescent="0.25">
      <c r="A241" s="2"/>
      <c r="B241" s="2"/>
      <c r="C241" s="10"/>
      <c r="D241" s="10"/>
    </row>
    <row r="242" spans="1:4" x14ac:dyDescent="0.25">
      <c r="A242" s="2"/>
      <c r="B242" s="2"/>
      <c r="C242" s="10"/>
      <c r="D242" s="10"/>
    </row>
    <row r="243" spans="1:4" x14ac:dyDescent="0.25">
      <c r="A243" s="51"/>
      <c r="B243" s="51"/>
      <c r="C243" s="52"/>
      <c r="D243" s="52"/>
    </row>
    <row r="244" spans="1:4" x14ac:dyDescent="0.25">
      <c r="A244" s="51"/>
      <c r="B244" s="51"/>
      <c r="C244" s="52"/>
      <c r="D244" s="52"/>
    </row>
    <row r="245" spans="1:4" ht="14.25" thickBot="1" x14ac:dyDescent="0.3">
      <c r="A245" s="3"/>
      <c r="B245" s="3"/>
      <c r="C245" s="11"/>
      <c r="D245" s="11"/>
    </row>
    <row r="246" spans="1:4" ht="14.25" thickBot="1" x14ac:dyDescent="0.3">
      <c r="A246" s="48" t="s">
        <v>22</v>
      </c>
      <c r="B246" s="48">
        <f>SUM(B231:B245)</f>
        <v>0</v>
      </c>
      <c r="C246" s="88" t="s">
        <v>29</v>
      </c>
      <c r="D246" s="49"/>
    </row>
    <row r="247" spans="1:4" ht="15" thickBot="1" x14ac:dyDescent="0.35">
      <c r="A247" s="50"/>
      <c r="B247" s="50"/>
      <c r="C247" s="50"/>
      <c r="D247" s="50"/>
    </row>
    <row r="248" spans="1:4" ht="18.75" thickBot="1" x14ac:dyDescent="0.3">
      <c r="A248" s="43" t="s">
        <v>14</v>
      </c>
      <c r="B248" s="44">
        <v>14</v>
      </c>
      <c r="C248" s="45" t="s">
        <v>23</v>
      </c>
      <c r="D248" s="54">
        <f>$D$229+7</f>
        <v>45400</v>
      </c>
    </row>
    <row r="249" spans="1:4" ht="27.75" thickBot="1" x14ac:dyDescent="0.3">
      <c r="A249" s="46" t="s">
        <v>3</v>
      </c>
      <c r="B249" s="47" t="s">
        <v>15</v>
      </c>
      <c r="C249" s="46" t="s">
        <v>7</v>
      </c>
      <c r="D249" s="46" t="s">
        <v>13</v>
      </c>
    </row>
    <row r="250" spans="1:4" x14ac:dyDescent="0.25">
      <c r="A250" s="5"/>
      <c r="B250" s="4"/>
      <c r="C250" s="9"/>
      <c r="D250" s="9"/>
    </row>
    <row r="251" spans="1:4" x14ac:dyDescent="0.25">
      <c r="A251" s="1"/>
      <c r="B251" s="2"/>
      <c r="C251" s="10"/>
      <c r="D251" s="10"/>
    </row>
    <row r="252" spans="1:4" x14ac:dyDescent="0.25">
      <c r="A252" s="1"/>
      <c r="B252" s="2"/>
      <c r="C252" s="10"/>
      <c r="D252" s="10"/>
    </row>
    <row r="253" spans="1:4" x14ac:dyDescent="0.25">
      <c r="A253" s="1"/>
      <c r="B253" s="2"/>
      <c r="C253" s="10"/>
      <c r="D253" s="10"/>
    </row>
    <row r="254" spans="1:4" x14ac:dyDescent="0.25">
      <c r="A254" s="1"/>
      <c r="B254" s="2"/>
      <c r="C254" s="10"/>
      <c r="D254" s="10"/>
    </row>
    <row r="255" spans="1:4" x14ac:dyDescent="0.25">
      <c r="A255" s="1"/>
      <c r="B255" s="2"/>
      <c r="C255" s="10"/>
      <c r="D255" s="10"/>
    </row>
    <row r="256" spans="1:4" x14ac:dyDescent="0.25">
      <c r="A256" s="1"/>
      <c r="B256" s="2"/>
      <c r="C256" s="10"/>
      <c r="D256" s="10"/>
    </row>
    <row r="257" spans="1:4" x14ac:dyDescent="0.25">
      <c r="A257" s="1"/>
      <c r="B257" s="2"/>
      <c r="C257" s="10"/>
      <c r="D257" s="10"/>
    </row>
    <row r="258" spans="1:4" x14ac:dyDescent="0.25">
      <c r="A258" s="1"/>
      <c r="B258" s="2"/>
      <c r="C258" s="10"/>
      <c r="D258" s="10"/>
    </row>
    <row r="259" spans="1:4" x14ac:dyDescent="0.25">
      <c r="A259" s="2"/>
      <c r="B259" s="2"/>
      <c r="C259" s="10"/>
      <c r="D259" s="10"/>
    </row>
    <row r="260" spans="1:4" x14ac:dyDescent="0.25">
      <c r="A260" s="2"/>
      <c r="B260" s="2"/>
      <c r="C260" s="10"/>
      <c r="D260" s="10"/>
    </row>
    <row r="261" spans="1:4" x14ac:dyDescent="0.25">
      <c r="A261" s="2"/>
      <c r="B261" s="2"/>
      <c r="C261" s="10"/>
      <c r="D261" s="10"/>
    </row>
    <row r="262" spans="1:4" x14ac:dyDescent="0.25">
      <c r="A262" s="51"/>
      <c r="B262" s="51"/>
      <c r="C262" s="52"/>
      <c r="D262" s="52"/>
    </row>
    <row r="263" spans="1:4" x14ac:dyDescent="0.25">
      <c r="A263" s="51"/>
      <c r="B263" s="51"/>
      <c r="C263" s="52"/>
      <c r="D263" s="52"/>
    </row>
    <row r="264" spans="1:4" ht="14.25" thickBot="1" x14ac:dyDescent="0.3">
      <c r="A264" s="3"/>
      <c r="B264" s="3"/>
      <c r="C264" s="11"/>
      <c r="D264" s="11"/>
    </row>
    <row r="265" spans="1:4" ht="14.25" thickBot="1" x14ac:dyDescent="0.3">
      <c r="A265" s="48" t="s">
        <v>22</v>
      </c>
      <c r="B265" s="48">
        <f>SUM(B250:B264)</f>
        <v>0</v>
      </c>
      <c r="C265" s="88" t="s">
        <v>29</v>
      </c>
      <c r="D265" s="49"/>
    </row>
    <row r="266" spans="1:4" ht="15" thickBot="1" x14ac:dyDescent="0.35">
      <c r="A266" s="50"/>
      <c r="B266" s="50"/>
      <c r="C266" s="50"/>
      <c r="D266" s="50"/>
    </row>
    <row r="267" spans="1:4" ht="18.75" thickBot="1" x14ac:dyDescent="0.3">
      <c r="A267" s="43" t="s">
        <v>14</v>
      </c>
      <c r="B267" s="44">
        <v>15</v>
      </c>
      <c r="C267" s="45" t="s">
        <v>23</v>
      </c>
      <c r="D267" s="54">
        <f>$D$248+7</f>
        <v>45407</v>
      </c>
    </row>
    <row r="268" spans="1:4" ht="27.75" thickBot="1" x14ac:dyDescent="0.3">
      <c r="A268" s="46" t="s">
        <v>3</v>
      </c>
      <c r="B268" s="47" t="s">
        <v>15</v>
      </c>
      <c r="C268" s="46" t="s">
        <v>7</v>
      </c>
      <c r="D268" s="46" t="s">
        <v>13</v>
      </c>
    </row>
    <row r="269" spans="1:4" x14ac:dyDescent="0.25">
      <c r="A269" s="5"/>
      <c r="B269" s="4"/>
      <c r="C269" s="9"/>
      <c r="D269" s="9"/>
    </row>
    <row r="270" spans="1:4" x14ac:dyDescent="0.25">
      <c r="A270" s="1"/>
      <c r="B270" s="2"/>
      <c r="C270" s="10"/>
      <c r="D270" s="10"/>
    </row>
    <row r="271" spans="1:4" x14ac:dyDescent="0.25">
      <c r="A271" s="1"/>
      <c r="B271" s="2"/>
      <c r="C271" s="10"/>
      <c r="D271" s="10"/>
    </row>
    <row r="272" spans="1:4" x14ac:dyDescent="0.25">
      <c r="A272" s="1"/>
      <c r="B272" s="2"/>
      <c r="C272" s="10"/>
      <c r="D272" s="10"/>
    </row>
    <row r="273" spans="1:4" x14ac:dyDescent="0.25">
      <c r="A273" s="1"/>
      <c r="B273" s="2"/>
      <c r="C273" s="10"/>
      <c r="D273" s="10"/>
    </row>
    <row r="274" spans="1:4" x14ac:dyDescent="0.25">
      <c r="A274" s="1"/>
      <c r="B274" s="2"/>
      <c r="C274" s="10"/>
      <c r="D274" s="10"/>
    </row>
    <row r="275" spans="1:4" x14ac:dyDescent="0.25">
      <c r="A275" s="1"/>
      <c r="B275" s="2"/>
      <c r="C275" s="10"/>
      <c r="D275" s="10"/>
    </row>
    <row r="276" spans="1:4" x14ac:dyDescent="0.25">
      <c r="A276" s="1"/>
      <c r="B276" s="2"/>
      <c r="C276" s="10"/>
      <c r="D276" s="10"/>
    </row>
    <row r="277" spans="1:4" x14ac:dyDescent="0.25">
      <c r="A277" s="1"/>
      <c r="B277" s="2"/>
      <c r="C277" s="10"/>
      <c r="D277" s="10"/>
    </row>
    <row r="278" spans="1:4" x14ac:dyDescent="0.25">
      <c r="A278" s="2"/>
      <c r="B278" s="2"/>
      <c r="C278" s="10"/>
      <c r="D278" s="10"/>
    </row>
    <row r="279" spans="1:4" x14ac:dyDescent="0.25">
      <c r="A279" s="2"/>
      <c r="B279" s="2"/>
      <c r="C279" s="10"/>
      <c r="D279" s="10"/>
    </row>
    <row r="280" spans="1:4" x14ac:dyDescent="0.25">
      <c r="A280" s="2"/>
      <c r="B280" s="2"/>
      <c r="C280" s="10"/>
      <c r="D280" s="10"/>
    </row>
    <row r="281" spans="1:4" x14ac:dyDescent="0.25">
      <c r="A281" s="51"/>
      <c r="B281" s="51"/>
      <c r="C281" s="52"/>
      <c r="D281" s="52"/>
    </row>
    <row r="282" spans="1:4" x14ac:dyDescent="0.25">
      <c r="A282" s="51"/>
      <c r="B282" s="51"/>
      <c r="C282" s="52"/>
      <c r="D282" s="52"/>
    </row>
    <row r="283" spans="1:4" ht="14.25" thickBot="1" x14ac:dyDescent="0.3">
      <c r="A283" s="3"/>
      <c r="B283" s="3"/>
      <c r="C283" s="11"/>
      <c r="D283" s="11"/>
    </row>
    <row r="284" spans="1:4" ht="14.25" thickBot="1" x14ac:dyDescent="0.3">
      <c r="A284" s="48" t="s">
        <v>22</v>
      </c>
      <c r="B284" s="48">
        <f>SUM(B269:B283)</f>
        <v>0</v>
      </c>
      <c r="C284" s="88" t="s">
        <v>29</v>
      </c>
      <c r="D284" s="49"/>
    </row>
    <row r="285" spans="1:4" ht="15" thickBot="1" x14ac:dyDescent="0.35">
      <c r="A285" s="50"/>
      <c r="B285" s="50"/>
      <c r="C285" s="50"/>
      <c r="D285" s="50"/>
    </row>
    <row r="286" spans="1:4" ht="18.75" thickBot="1" x14ac:dyDescent="0.3">
      <c r="A286" s="43" t="s">
        <v>14</v>
      </c>
      <c r="B286" s="44">
        <v>16</v>
      </c>
      <c r="C286" s="45" t="s">
        <v>23</v>
      </c>
      <c r="D286" s="54">
        <f>$D$267+7</f>
        <v>45414</v>
      </c>
    </row>
    <row r="287" spans="1:4" ht="27.75" thickBot="1" x14ac:dyDescent="0.3">
      <c r="A287" s="46" t="s">
        <v>3</v>
      </c>
      <c r="B287" s="47" t="s">
        <v>15</v>
      </c>
      <c r="C287" s="46" t="s">
        <v>7</v>
      </c>
      <c r="D287" s="46" t="s">
        <v>13</v>
      </c>
    </row>
    <row r="288" spans="1:4" x14ac:dyDescent="0.25">
      <c r="A288" s="5"/>
      <c r="B288" s="4"/>
      <c r="C288" s="9"/>
      <c r="D288" s="9"/>
    </row>
    <row r="289" spans="1:4" x14ac:dyDescent="0.25">
      <c r="A289" s="1"/>
      <c r="B289" s="2"/>
      <c r="C289" s="10"/>
      <c r="D289" s="10"/>
    </row>
    <row r="290" spans="1:4" x14ac:dyDescent="0.25">
      <c r="A290" s="1"/>
      <c r="B290" s="2"/>
      <c r="C290" s="10"/>
      <c r="D290" s="10"/>
    </row>
    <row r="291" spans="1:4" x14ac:dyDescent="0.25">
      <c r="A291" s="1"/>
      <c r="B291" s="2"/>
      <c r="C291" s="10"/>
      <c r="D291" s="10"/>
    </row>
    <row r="292" spans="1:4" x14ac:dyDescent="0.25">
      <c r="A292" s="1"/>
      <c r="B292" s="2"/>
      <c r="C292" s="10"/>
      <c r="D292" s="10"/>
    </row>
    <row r="293" spans="1:4" x14ac:dyDescent="0.25">
      <c r="A293" s="1"/>
      <c r="B293" s="2"/>
      <c r="C293" s="10"/>
      <c r="D293" s="10"/>
    </row>
    <row r="294" spans="1:4" x14ac:dyDescent="0.25">
      <c r="A294" s="1"/>
      <c r="B294" s="2"/>
      <c r="C294" s="10"/>
      <c r="D294" s="10"/>
    </row>
    <row r="295" spans="1:4" x14ac:dyDescent="0.25">
      <c r="A295" s="1"/>
      <c r="B295" s="2"/>
      <c r="C295" s="10"/>
      <c r="D295" s="10"/>
    </row>
    <row r="296" spans="1:4" x14ac:dyDescent="0.25">
      <c r="A296" s="1"/>
      <c r="B296" s="2"/>
      <c r="C296" s="10"/>
      <c r="D296" s="10"/>
    </row>
    <row r="297" spans="1:4" x14ac:dyDescent="0.25">
      <c r="A297" s="2"/>
      <c r="B297" s="2"/>
      <c r="C297" s="10"/>
      <c r="D297" s="10"/>
    </row>
    <row r="298" spans="1:4" x14ac:dyDescent="0.25">
      <c r="A298" s="2"/>
      <c r="B298" s="2"/>
      <c r="C298" s="10"/>
      <c r="D298" s="10"/>
    </row>
    <row r="299" spans="1:4" x14ac:dyDescent="0.25">
      <c r="A299" s="2"/>
      <c r="B299" s="2"/>
      <c r="C299" s="10"/>
      <c r="D299" s="10"/>
    </row>
    <row r="300" spans="1:4" x14ac:dyDescent="0.25">
      <c r="A300" s="51"/>
      <c r="B300" s="51"/>
      <c r="C300" s="52"/>
      <c r="D300" s="52"/>
    </row>
    <row r="301" spans="1:4" x14ac:dyDescent="0.25">
      <c r="A301" s="51"/>
      <c r="B301" s="51"/>
      <c r="C301" s="52"/>
      <c r="D301" s="52"/>
    </row>
    <row r="302" spans="1:4" ht="14.25" thickBot="1" x14ac:dyDescent="0.3">
      <c r="A302" s="3"/>
      <c r="B302" s="3"/>
      <c r="C302" s="11"/>
      <c r="D302" s="11"/>
    </row>
    <row r="303" spans="1:4" ht="14.25" thickBot="1" x14ac:dyDescent="0.3">
      <c r="A303" s="48" t="s">
        <v>22</v>
      </c>
      <c r="B303" s="48">
        <f>SUM(B288:B302)</f>
        <v>0</v>
      </c>
      <c r="C303" s="88" t="s">
        <v>29</v>
      </c>
      <c r="D303" s="49"/>
    </row>
    <row r="304" spans="1:4" ht="14.25" x14ac:dyDescent="0.3">
      <c r="A304" s="50"/>
      <c r="B304" s="50"/>
      <c r="C304" s="50"/>
      <c r="D304" s="50"/>
    </row>
    <row r="305" spans="1:1" x14ac:dyDescent="0.25">
      <c r="A305" s="89" t="s">
        <v>30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053AF9BF-4B79-4914-B412-BF72B6B57AD8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 B155:B169 B174:B188 B193:B207 B212:B226 B231:B245 B250:B264 B269:B283 B288:B302" xr:uid="{076DD90D-F5E2-4C14-9417-B356AF0B9B98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 B170 B189 B208 B227 B246 B265 B284 B303" xr:uid="{A1E2FE1B-703A-4DB2-AF21-28B514A6655D}">
      <formula1>0</formula1>
      <formula2>NbPerWeek * NbQuartPer</formula2>
    </dataValidation>
    <dataValidation type="list" allowBlank="1" showInputMessage="1" showErrorMessage="1" sqref="A3:A17 A22:A36 A41:A55 A60:A74 A79:A93 A98:A112 A117:A131 A136:A150 A155:A169 A174:A188 A193:A207 A212:A226 A231:A245 A250:A264 A269:A283 A288:A302" xr:uid="{0B384B7A-E73B-4EC7-819C-E83284C78F8D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6081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6081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ABD9BFFC9E543439C53A2705AE306EF" ma:contentTypeVersion="13" ma:contentTypeDescription="Crée un document." ma:contentTypeScope="" ma:versionID="a2a625e4713a1206e22a4c67b5bce77a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44987950040cbf76ec9c25f294fcc9dd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customXml/itemProps2.xml><?xml version="1.0" encoding="utf-8"?>
<ds:datastoreItem xmlns:ds="http://schemas.openxmlformats.org/officeDocument/2006/customXml" ds:itemID="{6B433C9A-8A3A-4D69-955C-F3F07BFE315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13</vt:i4>
      </vt:variant>
    </vt:vector>
  </HeadingPairs>
  <TitlesOfParts>
    <vt:vector size="21" baseType="lpstr">
      <vt:lpstr>Donnees</vt:lpstr>
      <vt:lpstr>Diagramme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Maxime Pelloquin</dc:creator>
  <cp:lastModifiedBy>Maxime Pelloquin</cp:lastModifiedBy>
  <cp:lastPrinted>2013-08-29T11:33:15Z</cp:lastPrinted>
  <dcterms:created xsi:type="dcterms:W3CDTF">1996-10-21T11:03:58Z</dcterms:created>
  <dcterms:modified xsi:type="dcterms:W3CDTF">2024-01-25T15:24:27Z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